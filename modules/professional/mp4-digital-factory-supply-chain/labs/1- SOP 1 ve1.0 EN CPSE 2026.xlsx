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sin\Downloads\"/>
    </mc:Choice>
  </mc:AlternateContent>
  <xr:revisionPtr revIDLastSave="0" documentId="8_{0E19974E-D40C-4CCA-A809-18C951B4A76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ales forecasts" sheetId="2" r:id="rId1"/>
    <sheet name="S&amp;OP" sheetId="1" r:id="rId2"/>
  </sheets>
  <definedNames>
    <definedName name="solver_adj" localSheetId="1" hidden="1">'S&amp;OP'!$F$172:$Q$172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10000</definedName>
    <definedName name="solver_lhs1" localSheetId="1" hidden="1">'S&amp;OP'!$F$172:$Q$172</definedName>
    <definedName name="solver_lhs2" localSheetId="1" hidden="1">'S&amp;OP'!$F$183:$Q$183</definedName>
    <definedName name="solver_lhs3" localSheetId="1" hidden="1">'S&amp;OP'!$Q$183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'S&amp;OP'!$R$196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3</definedName>
    <definedName name="solver_rel3" localSheetId="1" hidden="1">3</definedName>
    <definedName name="solver_rhs1" localSheetId="1" hidden="1">"entier"</definedName>
    <definedName name="solver_rhs2" localSheetId="1" hidden="1">5</definedName>
    <definedName name="solver_rhs3" localSheetId="1" hidden="1">5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0.05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1" l="1"/>
  <c r="C104" i="1"/>
  <c r="Q72" i="1"/>
  <c r="P72" i="1"/>
  <c r="O72" i="1"/>
  <c r="N72" i="1"/>
  <c r="M72" i="1"/>
  <c r="L72" i="1"/>
  <c r="K72" i="1"/>
  <c r="J72" i="1"/>
  <c r="I72" i="1"/>
  <c r="H72" i="1"/>
  <c r="G72" i="1"/>
  <c r="F72" i="1"/>
  <c r="H71" i="1"/>
  <c r="I71" i="1"/>
  <c r="J71" i="1"/>
  <c r="K71" i="1"/>
  <c r="L71" i="1"/>
  <c r="M71" i="1"/>
  <c r="N71" i="1"/>
  <c r="O71" i="1"/>
  <c r="P71" i="1"/>
  <c r="Q71" i="1"/>
  <c r="G71" i="1"/>
  <c r="F71" i="1"/>
  <c r="G79" i="1"/>
  <c r="H79" i="1"/>
  <c r="I79" i="1"/>
  <c r="J79" i="1"/>
  <c r="K79" i="1"/>
  <c r="L79" i="1"/>
  <c r="M79" i="1"/>
  <c r="N79" i="1"/>
  <c r="O79" i="1"/>
  <c r="P79" i="1"/>
  <c r="Q79" i="1"/>
  <c r="F79" i="1"/>
  <c r="F82" i="1"/>
  <c r="G35" i="1"/>
  <c r="H35" i="1"/>
  <c r="I35" i="1"/>
  <c r="J35" i="1"/>
  <c r="K35" i="1"/>
  <c r="L35" i="1"/>
  <c r="M35" i="1"/>
  <c r="N35" i="1"/>
  <c r="O35" i="1"/>
  <c r="P35" i="1"/>
  <c r="Q35" i="1"/>
  <c r="F35" i="1"/>
  <c r="H32" i="1"/>
  <c r="I32" i="1" s="1"/>
  <c r="J32" i="1" s="1"/>
  <c r="K32" i="1" s="1"/>
  <c r="L32" i="1" s="1"/>
  <c r="M32" i="1" s="1"/>
  <c r="N32" i="1" s="1"/>
  <c r="O32" i="1" s="1"/>
  <c r="P32" i="1" s="1"/>
  <c r="Q32" i="1" s="1"/>
  <c r="G32" i="1"/>
  <c r="F32" i="1"/>
  <c r="G25" i="1"/>
  <c r="H25" i="1"/>
  <c r="I25" i="1"/>
  <c r="J25" i="1"/>
  <c r="K25" i="1"/>
  <c r="L25" i="1"/>
  <c r="M25" i="1"/>
  <c r="N25" i="1"/>
  <c r="O25" i="1"/>
  <c r="P25" i="1"/>
  <c r="Q25" i="1"/>
  <c r="F25" i="1"/>
  <c r="G24" i="1"/>
  <c r="H24" i="1"/>
  <c r="I24" i="1"/>
  <c r="J24" i="1"/>
  <c r="K24" i="1"/>
  <c r="L24" i="1"/>
  <c r="M24" i="1"/>
  <c r="N24" i="1"/>
  <c r="O24" i="1"/>
  <c r="P24" i="1"/>
  <c r="Q24" i="1"/>
  <c r="F24" i="1"/>
  <c r="E35" i="1"/>
  <c r="E34" i="1"/>
  <c r="C34" i="1"/>
  <c r="E32" i="1"/>
  <c r="C32" i="1"/>
  <c r="G82" i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G33" i="1" l="1"/>
  <c r="F40" i="1"/>
  <c r="F41" i="1"/>
  <c r="F42" i="1" l="1"/>
  <c r="G40" i="1"/>
  <c r="G41" i="1"/>
  <c r="G42" i="1" l="1"/>
  <c r="G11" i="2"/>
  <c r="H11" i="2"/>
  <c r="I11" i="2"/>
  <c r="J11" i="2"/>
  <c r="K11" i="2"/>
  <c r="L11" i="2"/>
  <c r="M11" i="2"/>
  <c r="N11" i="2"/>
  <c r="O11" i="2"/>
  <c r="P11" i="2"/>
  <c r="Q11" i="2"/>
  <c r="F11" i="2"/>
  <c r="F12" i="2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F150" i="1" l="1"/>
  <c r="Q51" i="1"/>
  <c r="P51" i="1"/>
  <c r="O51" i="1"/>
  <c r="N51" i="1"/>
  <c r="M51" i="1"/>
  <c r="L51" i="1"/>
  <c r="K51" i="1"/>
  <c r="J51" i="1"/>
  <c r="I51" i="1"/>
  <c r="H51" i="1"/>
  <c r="G51" i="1"/>
  <c r="F51" i="1"/>
  <c r="Q98" i="1"/>
  <c r="P98" i="1"/>
  <c r="O98" i="1"/>
  <c r="N98" i="1"/>
  <c r="M98" i="1"/>
  <c r="L98" i="1"/>
  <c r="K98" i="1"/>
  <c r="J98" i="1"/>
  <c r="I98" i="1"/>
  <c r="H98" i="1"/>
  <c r="G98" i="1"/>
  <c r="F98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H150" i="1"/>
  <c r="I150" i="1"/>
  <c r="J150" i="1"/>
  <c r="K150" i="1"/>
  <c r="L150" i="1"/>
  <c r="M150" i="1"/>
  <c r="N150" i="1"/>
  <c r="O150" i="1"/>
  <c r="P150" i="1"/>
  <c r="Q150" i="1"/>
  <c r="G150" i="1"/>
  <c r="C182" i="1"/>
  <c r="P173" i="1"/>
  <c r="N173" i="1"/>
  <c r="L173" i="1"/>
  <c r="J173" i="1"/>
  <c r="H173" i="1"/>
  <c r="F173" i="1"/>
  <c r="F189" i="1" s="1"/>
  <c r="F194" i="1" s="1"/>
  <c r="O173" i="1"/>
  <c r="K173" i="1"/>
  <c r="G173" i="1"/>
  <c r="E172" i="1"/>
  <c r="E173" i="1" s="1"/>
  <c r="D172" i="1"/>
  <c r="D176" i="1" s="1"/>
  <c r="C172" i="1"/>
  <c r="C173" i="1" s="1"/>
  <c r="E168" i="1"/>
  <c r="D168" i="1"/>
  <c r="C168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C108" i="1"/>
  <c r="C133" i="1"/>
  <c r="E123" i="1"/>
  <c r="D123" i="1"/>
  <c r="D124" i="1" s="1"/>
  <c r="C123" i="1"/>
  <c r="C131" i="1" s="1"/>
  <c r="E119" i="1"/>
  <c r="D119" i="1"/>
  <c r="C119" i="1"/>
  <c r="C120" i="1" s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F80" i="1"/>
  <c r="C81" i="1"/>
  <c r="E71" i="1"/>
  <c r="E75" i="1" s="1"/>
  <c r="D71" i="1"/>
  <c r="D72" i="1" s="1"/>
  <c r="C71" i="1"/>
  <c r="C75" i="1" s="1"/>
  <c r="E67" i="1"/>
  <c r="D67" i="1"/>
  <c r="C67" i="1"/>
  <c r="C68" i="1" s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I17" i="1"/>
  <c r="I8" i="2" s="1"/>
  <c r="R17" i="1"/>
  <c r="R8" i="2" s="1"/>
  <c r="Q17" i="1"/>
  <c r="Q8" i="2" s="1"/>
  <c r="H17" i="1"/>
  <c r="H8" i="2" s="1"/>
  <c r="J17" i="1"/>
  <c r="J8" i="2" s="1"/>
  <c r="K17" i="1"/>
  <c r="K8" i="2" s="1"/>
  <c r="L17" i="1"/>
  <c r="L8" i="2" s="1"/>
  <c r="M17" i="1"/>
  <c r="M8" i="2" s="1"/>
  <c r="N17" i="1"/>
  <c r="N8" i="2" s="1"/>
  <c r="O17" i="1"/>
  <c r="O8" i="2" s="1"/>
  <c r="P17" i="1"/>
  <c r="P8" i="2" s="1"/>
  <c r="G17" i="1"/>
  <c r="G8" i="2" s="1"/>
  <c r="F17" i="1"/>
  <c r="F8" i="2" s="1"/>
  <c r="E17" i="1"/>
  <c r="E8" i="2" s="1"/>
  <c r="D17" i="1"/>
  <c r="D8" i="2" s="1"/>
  <c r="C17" i="1"/>
  <c r="C8" i="2" s="1"/>
  <c r="D34" i="1"/>
  <c r="D24" i="1"/>
  <c r="D25" i="1" s="1"/>
  <c r="E24" i="1"/>
  <c r="E28" i="1" s="1"/>
  <c r="C24" i="1"/>
  <c r="D20" i="1"/>
  <c r="E20" i="1"/>
  <c r="C20" i="1"/>
  <c r="C21" i="1" s="1"/>
  <c r="Q80" i="1" l="1"/>
  <c r="D81" i="1"/>
  <c r="E81" i="1" s="1"/>
  <c r="D35" i="1"/>
  <c r="D182" i="1"/>
  <c r="C134" i="1"/>
  <c r="E169" i="1"/>
  <c r="D173" i="1"/>
  <c r="E176" i="1"/>
  <c r="C180" i="1"/>
  <c r="F188" i="1"/>
  <c r="C169" i="1"/>
  <c r="I173" i="1"/>
  <c r="M173" i="1"/>
  <c r="Q173" i="1"/>
  <c r="C183" i="1"/>
  <c r="D169" i="1"/>
  <c r="C176" i="1"/>
  <c r="D127" i="1"/>
  <c r="D131" i="1"/>
  <c r="D120" i="1"/>
  <c r="C124" i="1"/>
  <c r="C127" i="1"/>
  <c r="C128" i="1" s="1"/>
  <c r="D133" i="1"/>
  <c r="E124" i="1"/>
  <c r="E127" i="1"/>
  <c r="E120" i="1"/>
  <c r="C132" i="1"/>
  <c r="E21" i="1"/>
  <c r="D32" i="1"/>
  <c r="D68" i="1"/>
  <c r="K80" i="1"/>
  <c r="M80" i="1"/>
  <c r="O80" i="1"/>
  <c r="N80" i="1"/>
  <c r="I80" i="1"/>
  <c r="D28" i="1"/>
  <c r="F46" i="1"/>
  <c r="E25" i="1"/>
  <c r="D21" i="1"/>
  <c r="C25" i="1"/>
  <c r="E68" i="1"/>
  <c r="C82" i="1"/>
  <c r="C72" i="1"/>
  <c r="C28" i="1"/>
  <c r="E72" i="1"/>
  <c r="C76" i="1"/>
  <c r="D75" i="1"/>
  <c r="E76" i="1" s="1"/>
  <c r="C79" i="1"/>
  <c r="C33" i="1"/>
  <c r="C35" i="1"/>
  <c r="D33" i="1" l="1"/>
  <c r="E182" i="1"/>
  <c r="M200" i="1" s="1"/>
  <c r="D183" i="1"/>
  <c r="D82" i="1"/>
  <c r="D132" i="1"/>
  <c r="H80" i="1"/>
  <c r="Q200" i="1"/>
  <c r="P200" i="1"/>
  <c r="L200" i="1"/>
  <c r="O200" i="1"/>
  <c r="K200" i="1"/>
  <c r="N200" i="1"/>
  <c r="F200" i="1"/>
  <c r="F97" i="1"/>
  <c r="E99" i="1"/>
  <c r="L80" i="1"/>
  <c r="J80" i="1"/>
  <c r="G80" i="1"/>
  <c r="O52" i="1"/>
  <c r="K52" i="1"/>
  <c r="G52" i="1"/>
  <c r="N52" i="1"/>
  <c r="J52" i="1"/>
  <c r="F52" i="1"/>
  <c r="Q52" i="1"/>
  <c r="M52" i="1"/>
  <c r="I52" i="1"/>
  <c r="E52" i="1"/>
  <c r="H52" i="1"/>
  <c r="L52" i="1"/>
  <c r="P52" i="1"/>
  <c r="P97" i="1"/>
  <c r="P80" i="1"/>
  <c r="E177" i="1"/>
  <c r="D177" i="1"/>
  <c r="C177" i="1"/>
  <c r="E183" i="1"/>
  <c r="F193" i="1"/>
  <c r="F190" i="1"/>
  <c r="C181" i="1"/>
  <c r="D180" i="1"/>
  <c r="E131" i="1"/>
  <c r="E128" i="1"/>
  <c r="D128" i="1"/>
  <c r="E33" i="1"/>
  <c r="E133" i="1"/>
  <c r="D134" i="1"/>
  <c r="G97" i="1"/>
  <c r="L97" i="1"/>
  <c r="D76" i="1"/>
  <c r="D29" i="1"/>
  <c r="C29" i="1"/>
  <c r="F45" i="1"/>
  <c r="E29" i="1"/>
  <c r="E82" i="1"/>
  <c r="D79" i="1"/>
  <c r="C80" i="1"/>
  <c r="F50" i="1"/>
  <c r="G200" i="1" l="1"/>
  <c r="H200" i="1"/>
  <c r="J200" i="1"/>
  <c r="F180" i="1"/>
  <c r="F181" i="1" s="1"/>
  <c r="E200" i="1"/>
  <c r="I200" i="1"/>
  <c r="E132" i="1"/>
  <c r="H97" i="1"/>
  <c r="K97" i="1"/>
  <c r="F87" i="1"/>
  <c r="I99" i="1"/>
  <c r="F99" i="1"/>
  <c r="E151" i="1"/>
  <c r="L99" i="1"/>
  <c r="J99" i="1"/>
  <c r="O99" i="1"/>
  <c r="P99" i="1"/>
  <c r="Q99" i="1"/>
  <c r="K99" i="1"/>
  <c r="N99" i="1"/>
  <c r="M99" i="1"/>
  <c r="H99" i="1"/>
  <c r="G99" i="1"/>
  <c r="E180" i="1"/>
  <c r="D181" i="1"/>
  <c r="G189" i="1"/>
  <c r="G194" i="1" s="1"/>
  <c r="G188" i="1"/>
  <c r="G193" i="1" s="1"/>
  <c r="Q97" i="1"/>
  <c r="E134" i="1"/>
  <c r="I97" i="1"/>
  <c r="J97" i="1"/>
  <c r="O97" i="1"/>
  <c r="M97" i="1"/>
  <c r="N97" i="1"/>
  <c r="G46" i="1"/>
  <c r="F47" i="1"/>
  <c r="F33" i="1"/>
  <c r="E79" i="1"/>
  <c r="D80" i="1"/>
  <c r="F94" i="1"/>
  <c r="F183" i="1" l="1"/>
  <c r="F195" i="1"/>
  <c r="F198" i="1"/>
  <c r="E80" i="1"/>
  <c r="G50" i="1"/>
  <c r="E181" i="1"/>
  <c r="G180" i="1"/>
  <c r="G198" i="1" s="1"/>
  <c r="F88" i="1"/>
  <c r="G190" i="1"/>
  <c r="H41" i="1"/>
  <c r="H46" i="1" s="1"/>
  <c r="F92" i="1"/>
  <c r="G47" i="1"/>
  <c r="G45" i="1"/>
  <c r="G94" i="1"/>
  <c r="G195" i="1" l="1"/>
  <c r="G183" i="1"/>
  <c r="F93" i="1"/>
  <c r="H50" i="1"/>
  <c r="H180" i="1"/>
  <c r="H183" i="1" s="1"/>
  <c r="G181" i="1"/>
  <c r="F89" i="1"/>
  <c r="G87" i="1" s="1"/>
  <c r="H188" i="1"/>
  <c r="H193" i="1" s="1"/>
  <c r="H189" i="1"/>
  <c r="H194" i="1" s="1"/>
  <c r="H40" i="1"/>
  <c r="H45" i="1" s="1"/>
  <c r="H47" i="1"/>
  <c r="H33" i="1"/>
  <c r="H94" i="1"/>
  <c r="H181" i="1" l="1"/>
  <c r="H198" i="1"/>
  <c r="G88" i="1"/>
  <c r="G93" i="1" s="1"/>
  <c r="H195" i="1"/>
  <c r="I50" i="1"/>
  <c r="I180" i="1"/>
  <c r="I183" i="1" s="1"/>
  <c r="H190" i="1"/>
  <c r="H42" i="1"/>
  <c r="I41" i="1" s="1"/>
  <c r="I46" i="1" s="1"/>
  <c r="G92" i="1"/>
  <c r="I47" i="1"/>
  <c r="I33" i="1"/>
  <c r="I94" i="1"/>
  <c r="I198" i="1" l="1"/>
  <c r="I181" i="1"/>
  <c r="G89" i="1"/>
  <c r="H88" i="1" s="1"/>
  <c r="I195" i="1"/>
  <c r="J50" i="1"/>
  <c r="J180" i="1"/>
  <c r="J183" i="1" s="1"/>
  <c r="I189" i="1"/>
  <c r="I194" i="1" s="1"/>
  <c r="I188" i="1"/>
  <c r="I193" i="1" s="1"/>
  <c r="I40" i="1"/>
  <c r="I42" i="1" s="1"/>
  <c r="J40" i="1" s="1"/>
  <c r="H87" i="1"/>
  <c r="J47" i="1"/>
  <c r="J33" i="1"/>
  <c r="J94" i="1"/>
  <c r="J195" i="1" l="1"/>
  <c r="J198" i="1"/>
  <c r="K50" i="1"/>
  <c r="K180" i="1"/>
  <c r="K181" i="1" s="1"/>
  <c r="H93" i="1"/>
  <c r="J181" i="1"/>
  <c r="I190" i="1"/>
  <c r="J41" i="1"/>
  <c r="J46" i="1" s="1"/>
  <c r="I45" i="1"/>
  <c r="H92" i="1"/>
  <c r="H89" i="1"/>
  <c r="J45" i="1"/>
  <c r="K47" i="1"/>
  <c r="K33" i="1"/>
  <c r="K94" i="1"/>
  <c r="K198" i="1" l="1"/>
  <c r="K183" i="1"/>
  <c r="K195" i="1"/>
  <c r="L180" i="1"/>
  <c r="L181" i="1" s="1"/>
  <c r="L50" i="1"/>
  <c r="J189" i="1"/>
  <c r="J194" i="1" s="1"/>
  <c r="J188" i="1"/>
  <c r="J193" i="1" s="1"/>
  <c r="J42" i="1"/>
  <c r="K41" i="1" s="1"/>
  <c r="K46" i="1" s="1"/>
  <c r="I88" i="1"/>
  <c r="I87" i="1"/>
  <c r="L47" i="1"/>
  <c r="L33" i="1"/>
  <c r="L94" i="1"/>
  <c r="L198" i="1" l="1"/>
  <c r="M180" i="1"/>
  <c r="M198" i="1" s="1"/>
  <c r="M50" i="1"/>
  <c r="L195" i="1"/>
  <c r="I93" i="1"/>
  <c r="L183" i="1"/>
  <c r="J190" i="1"/>
  <c r="K40" i="1"/>
  <c r="K45" i="1" s="1"/>
  <c r="I92" i="1"/>
  <c r="I89" i="1"/>
  <c r="M47" i="1"/>
  <c r="M33" i="1"/>
  <c r="M94" i="1"/>
  <c r="M181" i="1" l="1"/>
  <c r="N180" i="1"/>
  <c r="N198" i="1" s="1"/>
  <c r="M195" i="1"/>
  <c r="M183" i="1"/>
  <c r="N50" i="1"/>
  <c r="K188" i="1"/>
  <c r="K193" i="1" s="1"/>
  <c r="K189" i="1"/>
  <c r="K194" i="1" s="1"/>
  <c r="K42" i="1"/>
  <c r="L40" i="1" s="1"/>
  <c r="J88" i="1"/>
  <c r="J87" i="1"/>
  <c r="N47" i="1"/>
  <c r="N33" i="1"/>
  <c r="N94" i="1"/>
  <c r="N183" i="1" l="1"/>
  <c r="N181" i="1"/>
  <c r="N195" i="1"/>
  <c r="J93" i="1"/>
  <c r="O50" i="1"/>
  <c r="O180" i="1"/>
  <c r="O183" i="1" s="1"/>
  <c r="L41" i="1"/>
  <c r="L46" i="1" s="1"/>
  <c r="K190" i="1"/>
  <c r="L189" i="1" s="1"/>
  <c r="L194" i="1" s="1"/>
  <c r="J92" i="1"/>
  <c r="J89" i="1"/>
  <c r="L45" i="1"/>
  <c r="O47" i="1"/>
  <c r="O33" i="1"/>
  <c r="O94" i="1"/>
  <c r="O181" i="1" l="1"/>
  <c r="O195" i="1"/>
  <c r="O198" i="1"/>
  <c r="P50" i="1"/>
  <c r="P180" i="1"/>
  <c r="P181" i="1" s="1"/>
  <c r="L42" i="1"/>
  <c r="M41" i="1" s="1"/>
  <c r="M46" i="1" s="1"/>
  <c r="L188" i="1"/>
  <c r="K88" i="1"/>
  <c r="K87" i="1"/>
  <c r="P47" i="1"/>
  <c r="P33" i="1"/>
  <c r="P94" i="1"/>
  <c r="P183" i="1" l="1"/>
  <c r="P195" i="1"/>
  <c r="P198" i="1"/>
  <c r="K93" i="1"/>
  <c r="Q50" i="1"/>
  <c r="Q180" i="1"/>
  <c r="Q198" i="1" s="1"/>
  <c r="M40" i="1"/>
  <c r="M42" i="1" s="1"/>
  <c r="L193" i="1"/>
  <c r="L190" i="1"/>
  <c r="K92" i="1"/>
  <c r="K89" i="1"/>
  <c r="Q47" i="1"/>
  <c r="Q33" i="1"/>
  <c r="Q94" i="1"/>
  <c r="R94" i="1" s="1"/>
  <c r="V4" i="1" s="1"/>
  <c r="Q183" i="1" l="1"/>
  <c r="R47" i="1"/>
  <c r="Q181" i="1"/>
  <c r="Q195" i="1"/>
  <c r="M45" i="1"/>
  <c r="M188" i="1"/>
  <c r="M189" i="1"/>
  <c r="M194" i="1" s="1"/>
  <c r="L88" i="1"/>
  <c r="L87" i="1"/>
  <c r="N41" i="1"/>
  <c r="N46" i="1" s="1"/>
  <c r="N40" i="1"/>
  <c r="R195" i="1" l="1"/>
  <c r="L93" i="1"/>
  <c r="U4" i="1"/>
  <c r="M193" i="1"/>
  <c r="M190" i="1"/>
  <c r="L92" i="1"/>
  <c r="L89" i="1"/>
  <c r="N42" i="1"/>
  <c r="N45" i="1"/>
  <c r="X4" i="1" l="1"/>
  <c r="N188" i="1"/>
  <c r="N193" i="1" s="1"/>
  <c r="N189" i="1"/>
  <c r="N194" i="1" s="1"/>
  <c r="M88" i="1"/>
  <c r="M87" i="1"/>
  <c r="O40" i="1"/>
  <c r="O41" i="1"/>
  <c r="O46" i="1" s="1"/>
  <c r="M93" i="1" l="1"/>
  <c r="N190" i="1"/>
  <c r="O188" i="1" s="1"/>
  <c r="M92" i="1"/>
  <c r="M89" i="1"/>
  <c r="O42" i="1"/>
  <c r="O45" i="1"/>
  <c r="O189" i="1" l="1"/>
  <c r="O194" i="1" s="1"/>
  <c r="O193" i="1"/>
  <c r="N88" i="1"/>
  <c r="N87" i="1"/>
  <c r="P40" i="1"/>
  <c r="P41" i="1"/>
  <c r="P46" i="1" s="1"/>
  <c r="N93" i="1" l="1"/>
  <c r="O190" i="1"/>
  <c r="P189" i="1" s="1"/>
  <c r="P194" i="1" s="1"/>
  <c r="N92" i="1"/>
  <c r="N89" i="1"/>
  <c r="P42" i="1"/>
  <c r="P45" i="1"/>
  <c r="P188" i="1" l="1"/>
  <c r="P193" i="1" s="1"/>
  <c r="O87" i="1"/>
  <c r="O88" i="1"/>
  <c r="Q40" i="1"/>
  <c r="Q41" i="1"/>
  <c r="Q46" i="1" s="1"/>
  <c r="R46" i="1" s="1"/>
  <c r="U3" i="1" s="1"/>
  <c r="O93" i="1" l="1"/>
  <c r="O92" i="1"/>
  <c r="P190" i="1"/>
  <c r="Q189" i="1" s="1"/>
  <c r="Q194" i="1" s="1"/>
  <c r="R194" i="1" s="1"/>
  <c r="X3" i="1" s="1"/>
  <c r="O89" i="1"/>
  <c r="Q42" i="1"/>
  <c r="Q45" i="1"/>
  <c r="R45" i="1" s="1"/>
  <c r="P88" i="1" l="1"/>
  <c r="R48" i="1"/>
  <c r="U2" i="1"/>
  <c r="P87" i="1"/>
  <c r="Q188" i="1"/>
  <c r="Q193" i="1" s="1"/>
  <c r="R193" i="1" s="1"/>
  <c r="P92" i="1" l="1"/>
  <c r="U5" i="1"/>
  <c r="P93" i="1"/>
  <c r="P89" i="1"/>
  <c r="R196" i="1"/>
  <c r="X2" i="1"/>
  <c r="Q190" i="1"/>
  <c r="X5" i="1" l="1"/>
  <c r="Q88" i="1"/>
  <c r="Q87" i="1"/>
  <c r="Q93" i="1" l="1"/>
  <c r="Q89" i="1"/>
  <c r="Q92" i="1"/>
  <c r="R93" i="1" l="1"/>
  <c r="R92" i="1"/>
  <c r="V2" i="1" l="1"/>
  <c r="R95" i="1"/>
  <c r="V3" i="1"/>
  <c r="V5" i="1" l="1"/>
  <c r="Q131" i="1" l="1"/>
  <c r="C105" i="1" s="1"/>
  <c r="Q132" i="1"/>
  <c r="C107" i="1" l="1"/>
  <c r="C109" i="1" s="1"/>
  <c r="D109" i="1"/>
  <c r="Q146" i="1"/>
  <c r="K124" i="1" l="1"/>
  <c r="F124" i="1"/>
  <c r="P124" i="1"/>
  <c r="Q124" i="1"/>
  <c r="H124" i="1"/>
  <c r="L124" i="1"/>
  <c r="J124" i="1"/>
  <c r="N124" i="1"/>
  <c r="M124" i="1"/>
  <c r="G124" i="1"/>
  <c r="O124" i="1"/>
  <c r="I124" i="1"/>
  <c r="I123" i="1" l="1"/>
  <c r="L123" i="1"/>
  <c r="O123" i="1"/>
  <c r="H123" i="1"/>
  <c r="G123" i="1"/>
  <c r="Q123" i="1"/>
  <c r="Q149" i="1" s="1"/>
  <c r="M123" i="1"/>
  <c r="P123" i="1"/>
  <c r="N123" i="1"/>
  <c r="F139" i="1"/>
  <c r="F123" i="1"/>
  <c r="F140" i="1"/>
  <c r="F145" i="1" s="1"/>
  <c r="J123" i="1"/>
  <c r="K123" i="1"/>
  <c r="J151" i="1" l="1"/>
  <c r="H151" i="1"/>
  <c r="P151" i="1"/>
  <c r="F131" i="1"/>
  <c r="K151" i="1"/>
  <c r="F151" i="1"/>
  <c r="F149" i="1"/>
  <c r="M151" i="1"/>
  <c r="N151" i="1"/>
  <c r="I151" i="1"/>
  <c r="Q151" i="1"/>
  <c r="G151" i="1"/>
  <c r="L151" i="1"/>
  <c r="O151" i="1"/>
  <c r="F141" i="1"/>
  <c r="F144" i="1"/>
  <c r="G140" i="1" l="1"/>
  <c r="G145" i="1" s="1"/>
  <c r="G139" i="1"/>
  <c r="G144" i="1" s="1"/>
  <c r="F146" i="1"/>
  <c r="G131" i="1"/>
  <c r="F132" i="1"/>
  <c r="F134" i="1"/>
  <c r="G141" i="1" l="1"/>
  <c r="G146" i="1"/>
  <c r="G132" i="1"/>
  <c r="G134" i="1"/>
  <c r="H131" i="1"/>
  <c r="G149" i="1"/>
  <c r="H140" i="1" l="1"/>
  <c r="H145" i="1" s="1"/>
  <c r="H139" i="1"/>
  <c r="H144" i="1" s="1"/>
  <c r="H134" i="1"/>
  <c r="I131" i="1"/>
  <c r="H132" i="1"/>
  <c r="H146" i="1"/>
  <c r="H149" i="1"/>
  <c r="H141" i="1" l="1"/>
  <c r="J131" i="1"/>
  <c r="I132" i="1"/>
  <c r="I146" i="1"/>
  <c r="I134" i="1"/>
  <c r="I149" i="1"/>
  <c r="J132" i="1" l="1"/>
  <c r="J134" i="1"/>
  <c r="K131" i="1"/>
  <c r="J146" i="1"/>
  <c r="J149" i="1"/>
  <c r="I141" i="1"/>
  <c r="I140" i="1"/>
  <c r="I145" i="1" s="1"/>
  <c r="I139" i="1"/>
  <c r="I144" i="1" s="1"/>
  <c r="J140" i="1" l="1"/>
  <c r="J145" i="1" s="1"/>
  <c r="J139" i="1"/>
  <c r="J144" i="1" s="1"/>
  <c r="L131" i="1"/>
  <c r="K146" i="1"/>
  <c r="K134" i="1"/>
  <c r="K132" i="1"/>
  <c r="K149" i="1"/>
  <c r="M131" i="1" l="1"/>
  <c r="L132" i="1"/>
  <c r="L146" i="1"/>
  <c r="L134" i="1"/>
  <c r="L149" i="1"/>
  <c r="J141" i="1"/>
  <c r="M132" i="1" l="1"/>
  <c r="M134" i="1"/>
  <c r="M146" i="1"/>
  <c r="N131" i="1"/>
  <c r="M149" i="1"/>
  <c r="K140" i="1"/>
  <c r="K145" i="1" s="1"/>
  <c r="K139" i="1"/>
  <c r="K144" i="1" s="1"/>
  <c r="N146" i="1" l="1"/>
  <c r="N132" i="1"/>
  <c r="N134" i="1"/>
  <c r="O131" i="1"/>
  <c r="N149" i="1"/>
  <c r="K141" i="1"/>
  <c r="L140" i="1" l="1"/>
  <c r="L145" i="1" s="1"/>
  <c r="L139" i="1"/>
  <c r="L144" i="1" s="1"/>
  <c r="O132" i="1"/>
  <c r="O134" i="1"/>
  <c r="O146" i="1"/>
  <c r="P131" i="1"/>
  <c r="O149" i="1"/>
  <c r="P146" i="1" l="1"/>
  <c r="R146" i="1" s="1"/>
  <c r="W4" i="1" s="1"/>
  <c r="P134" i="1"/>
  <c r="P132" i="1"/>
  <c r="P149" i="1"/>
  <c r="L141" i="1"/>
  <c r="M140" i="1" l="1"/>
  <c r="M145" i="1" s="1"/>
  <c r="M139" i="1"/>
  <c r="M144" i="1" s="1"/>
  <c r="M141" i="1" l="1"/>
  <c r="N140" i="1" l="1"/>
  <c r="N145" i="1" s="1"/>
  <c r="N139" i="1"/>
  <c r="N144" i="1" s="1"/>
  <c r="N141" i="1" l="1"/>
  <c r="O140" i="1" l="1"/>
  <c r="O145" i="1" s="1"/>
  <c r="O141" i="1"/>
  <c r="O139" i="1"/>
  <c r="O144" i="1" s="1"/>
  <c r="P140" i="1" l="1"/>
  <c r="P145" i="1" s="1"/>
  <c r="P139" i="1"/>
  <c r="P144" i="1" s="1"/>
  <c r="P141" i="1" l="1"/>
  <c r="Q140" i="1" l="1"/>
  <c r="Q145" i="1" s="1"/>
  <c r="R145" i="1" s="1"/>
  <c r="W3" i="1" s="1"/>
  <c r="Q139" i="1"/>
  <c r="Q144" i="1" s="1"/>
  <c r="R144" i="1" s="1"/>
  <c r="R147" i="1" l="1"/>
  <c r="W5" i="1" s="1"/>
  <c r="W2" i="1"/>
  <c r="Q1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ROSIN Frédéric</author>
  </authors>
  <commentList>
    <comment ref="C34" authorId="0" shapeId="0" xr:uid="{00000000-0006-0000-0100-000001000000}">
      <text>
        <r>
          <rPr>
            <sz val="9"/>
            <color indexed="81"/>
            <rFont val="Tahoma"/>
            <family val="2"/>
          </rPr>
          <t>Ending inventory = Initial inventory + Actual production – Actual sales</t>
        </r>
      </text>
    </comment>
    <comment ref="C81" authorId="0" shapeId="0" xr:uid="{00000000-0006-0000-0100-000002000000}">
      <text>
        <r>
          <rPr>
            <sz val="9"/>
            <color indexed="81"/>
            <rFont val="Tahoma"/>
            <family val="2"/>
          </rPr>
          <t>Ending inventory = Initial inventory + Actual production – Actual sales</t>
        </r>
      </text>
    </comment>
    <comment ref="C133" authorId="0" shapeId="0" xr:uid="{00000000-0006-0000-0100-000003000000}">
      <text>
        <r>
          <rPr>
            <sz val="9"/>
            <color indexed="81"/>
            <rFont val="Tahoma"/>
            <family val="2"/>
          </rPr>
          <t>Ending inventory = Initial inventory + Actual production – Actual sales</t>
        </r>
      </text>
    </comment>
    <comment ref="C182" authorId="0" shapeId="0" xr:uid="{00000000-0006-0000-0100-000004000000}">
      <text>
        <r>
          <rPr>
            <sz val="9"/>
            <color indexed="81"/>
            <rFont val="Tahoma"/>
            <family val="2"/>
          </rPr>
          <t>Ending inventory = Initial inventory + Actual production – Actual sales</t>
        </r>
      </text>
    </comment>
  </commentList>
</comments>
</file>

<file path=xl/sharedStrings.xml><?xml version="1.0" encoding="utf-8"?>
<sst xmlns="http://schemas.openxmlformats.org/spreadsheetml/2006/main" count="342" uniqueCount="81">
  <si>
    <t>Production</t>
  </si>
  <si>
    <t>Oct.</t>
  </si>
  <si>
    <t>Nov.</t>
  </si>
  <si>
    <t>Dec.</t>
  </si>
  <si>
    <t>Jan.</t>
  </si>
  <si>
    <t>Jun.</t>
  </si>
  <si>
    <t xml:space="preserve">Nov. </t>
  </si>
  <si>
    <t>€</t>
  </si>
  <si>
    <t>Stocks</t>
  </si>
  <si>
    <t>Futur</t>
  </si>
  <si>
    <t>k€</t>
  </si>
  <si>
    <t>i</t>
  </si>
  <si>
    <r>
      <t>x</t>
    </r>
    <r>
      <rPr>
        <sz val="9"/>
        <color theme="1"/>
        <rFont val="Calibri"/>
        <family val="2"/>
        <scheme val="minor"/>
      </rPr>
      <t>i</t>
    </r>
  </si>
  <si>
    <t>j</t>
  </si>
  <si>
    <t>Chase Strategy - Plan à stock constant</t>
  </si>
  <si>
    <t>Level Strategy - Plan à production constante</t>
  </si>
  <si>
    <t>Mixed Operating Strategy</t>
  </si>
  <si>
    <t>Chase Strategy - Plan à couverture de stock constante</t>
  </si>
  <si>
    <t>Total</t>
  </si>
  <si>
    <t>xxx</t>
  </si>
  <si>
    <t>Unit /Emp. J</t>
  </si>
  <si>
    <t>S&amp;OP Chase Strategy - Plan à stock constant</t>
  </si>
  <si>
    <t>S&amp;OP Chase Strategy - Plan à couverture de stock constante (5j)</t>
  </si>
  <si>
    <t>S&amp;OP Level Strategy - Plan à production constante</t>
  </si>
  <si>
    <t>S&amp;OP Mixed Operating Strategy</t>
  </si>
  <si>
    <t>Average value of one unit produced</t>
  </si>
  <si>
    <t>Employee productivity factor</t>
  </si>
  <si>
    <t>Initial inventory (end of Sept.)</t>
  </si>
  <si>
    <t>Inventory holding rate</t>
  </si>
  <si>
    <t>Hiring / recruitment cost</t>
  </si>
  <si>
    <t>Termination / layoff cost</t>
  </si>
  <si>
    <t>Initial workforce</t>
  </si>
  <si>
    <t>Entered parameters</t>
  </si>
  <si>
    <t>Calculated parameters but can also be overridden</t>
  </si>
  <si>
    <t>Sales forecasts</t>
  </si>
  <si>
    <t>Sales / Demand</t>
  </si>
  <si>
    <t>Actual sales</t>
  </si>
  <si>
    <t>Difference</t>
  </si>
  <si>
    <t>Cumulative difference</t>
  </si>
  <si>
    <t>Planned production – Production plan</t>
  </si>
  <si>
    <t>Planned resource requirements</t>
  </si>
  <si>
    <t>Number of working days</t>
  </si>
  <si>
    <t>Actual production</t>
  </si>
  <si>
    <t>Planned</t>
  </si>
  <si>
    <t>Actual</t>
  </si>
  <si>
    <t>End-of-month inventory</t>
  </si>
  <si>
    <t>Stock coverage / Days of supply</t>
  </si>
  <si>
    <t>Service level</t>
  </si>
  <si>
    <t>Workforce</t>
  </si>
  <si>
    <t>Recruit.</t>
  </si>
  <si>
    <t>Termin.</t>
  </si>
  <si>
    <t>Historical</t>
  </si>
  <si>
    <t>Feb.</t>
  </si>
  <si>
    <t>Mar</t>
  </si>
  <si>
    <t>Apr.</t>
  </si>
  <si>
    <t>May</t>
  </si>
  <si>
    <t>Jul.</t>
  </si>
  <si>
    <t>Aug</t>
  </si>
  <si>
    <t>Sep.</t>
  </si>
  <si>
    <t>Cost in k€</t>
  </si>
  <si>
    <t>Totals</t>
  </si>
  <si>
    <t>Total Cost :</t>
  </si>
  <si>
    <t>Inventory</t>
  </si>
  <si>
    <t>Planned Production + Inventory</t>
  </si>
  <si>
    <t>Cumulative Sales</t>
  </si>
  <si>
    <t>Cumulative Prod. + Opening Inventory</t>
  </si>
  <si>
    <t>1000 units</t>
  </si>
  <si>
    <t>Working days.</t>
  </si>
  <si>
    <t>Employees</t>
  </si>
  <si>
    <t>days</t>
  </si>
  <si>
    <t>Target inventory coverage/Days of supply</t>
  </si>
  <si>
    <t>units/year</t>
  </si>
  <si>
    <t>nventory coverage (end of Dec., year n+1)</t>
  </si>
  <si>
    <t>Total planned sales</t>
  </si>
  <si>
    <t>Total planned production</t>
  </si>
  <si>
    <t>Annual resource productivity</t>
  </si>
  <si>
    <t>Target constant workforce</t>
  </si>
  <si>
    <t>Planned production per working day (= constant)</t>
  </si>
  <si>
    <t>Number of working days (year n+1)</t>
  </si>
  <si>
    <t>Cumulative sales forecasts</t>
  </si>
  <si>
    <t>Cumulative smoothed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</si>
</sst>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mmmmm;@"/>
    <numFmt numFmtId="165" formatCode="0.0"/>
    <numFmt numFmtId="166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165" fontId="0" fillId="2" borderId="0" xfId="0" applyNumberFormat="1" applyFill="1"/>
    <xf numFmtId="3" fontId="0" fillId="2" borderId="0" xfId="0" applyNumberFormat="1" applyFill="1"/>
    <xf numFmtId="1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4" xfId="0" applyBorder="1"/>
    <xf numFmtId="0" fontId="0" fillId="0" borderId="5" xfId="0" applyBorder="1"/>
    <xf numFmtId="3" fontId="0" fillId="0" borderId="4" xfId="0" applyNumberFormat="1" applyBorder="1"/>
    <xf numFmtId="3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2" borderId="8" xfId="0" applyNumberFormat="1" applyFill="1" applyBorder="1"/>
    <xf numFmtId="165" fontId="0" fillId="2" borderId="6" xfId="0" applyNumberForma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6" fontId="0" fillId="0" borderId="2" xfId="0" applyNumberFormat="1" applyBorder="1"/>
    <xf numFmtId="166" fontId="0" fillId="0" borderId="3" xfId="0" applyNumberFormat="1" applyBorder="1"/>
    <xf numFmtId="3" fontId="0" fillId="2" borderId="4" xfId="0" applyNumberFormat="1" applyFill="1" applyBorder="1"/>
    <xf numFmtId="166" fontId="0" fillId="0" borderId="0" xfId="0" applyNumberFormat="1"/>
    <xf numFmtId="166" fontId="0" fillId="0" borderId="5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3" fontId="0" fillId="0" borderId="10" xfId="0" applyNumberFormat="1" applyBorder="1"/>
    <xf numFmtId="0" fontId="0" fillId="2" borderId="4" xfId="0" applyFill="1" applyBorder="1"/>
    <xf numFmtId="0" fontId="0" fillId="2" borderId="5" xfId="0" applyFill="1" applyBorder="1"/>
    <xf numFmtId="166" fontId="0" fillId="0" borderId="9" xfId="0" applyNumberFormat="1" applyBorder="1"/>
    <xf numFmtId="166" fontId="0" fillId="0" borderId="10" xfId="0" applyNumberFormat="1" applyBorder="1"/>
    <xf numFmtId="166" fontId="0" fillId="0" borderId="11" xfId="0" applyNumberFormat="1" applyBorder="1"/>
    <xf numFmtId="166" fontId="1" fillId="0" borderId="0" xfId="0" applyNumberFormat="1" applyFont="1"/>
    <xf numFmtId="1" fontId="0" fillId="2" borderId="4" xfId="0" applyNumberFormat="1" applyFill="1" applyBorder="1"/>
    <xf numFmtId="1" fontId="0" fillId="2" borderId="0" xfId="0" applyNumberFormat="1" applyFill="1"/>
    <xf numFmtId="1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6" fontId="0" fillId="0" borderId="1" xfId="0" applyNumberFormat="1" applyBorder="1"/>
    <xf numFmtId="166" fontId="0" fillId="0" borderId="6" xfId="0" applyNumberFormat="1" applyBorder="1"/>
    <xf numFmtId="0" fontId="3" fillId="0" borderId="0" xfId="0" applyFont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6" fontId="1" fillId="2" borderId="0" xfId="0" applyNumberFormat="1" applyFont="1" applyFill="1"/>
    <xf numFmtId="165" fontId="0" fillId="2" borderId="7" xfId="0" applyNumberForma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9" xfId="0" applyBorder="1"/>
    <xf numFmtId="0" fontId="1" fillId="0" borderId="19" xfId="0" applyFont="1" applyBorder="1"/>
    <xf numFmtId="166" fontId="0" fillId="0" borderId="19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1" fillId="0" borderId="19" xfId="0" applyNumberFormat="1" applyFont="1" applyBorder="1" applyAlignment="1">
      <alignment horizontal="center"/>
    </xf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11" xfId="0" applyNumberFormat="1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166" fontId="0" fillId="0" borderId="4" xfId="0" applyNumberFormat="1" applyBorder="1"/>
    <xf numFmtId="0" fontId="0" fillId="0" borderId="6" xfId="0" applyBorder="1" applyAlignment="1">
      <alignment wrapText="1"/>
    </xf>
    <xf numFmtId="0" fontId="0" fillId="0" borderId="8" xfId="0" applyBorder="1"/>
    <xf numFmtId="0" fontId="0" fillId="0" borderId="6" xfId="0" applyBorder="1"/>
    <xf numFmtId="0" fontId="0" fillId="0" borderId="7" xfId="0" applyBorder="1"/>
    <xf numFmtId="166" fontId="0" fillId="3" borderId="0" xfId="0" applyNumberFormat="1" applyFill="1"/>
    <xf numFmtId="0" fontId="5" fillId="3" borderId="0" xfId="0" applyFont="1" applyFill="1"/>
    <xf numFmtId="1" fontId="0" fillId="0" borderId="4" xfId="0" applyNumberFormat="1" applyBorder="1"/>
    <xf numFmtId="0" fontId="0" fillId="2" borderId="0" xfId="0" applyFill="1"/>
    <xf numFmtId="3" fontId="0" fillId="2" borderId="5" xfId="0" applyNumberFormat="1" applyFill="1" applyBorder="1"/>
    <xf numFmtId="1" fontId="0" fillId="3" borderId="0" xfId="0" applyNumberForma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forecasts in k€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forecasts'!$A$8</c:f>
              <c:strCache>
                <c:ptCount val="1"/>
                <c:pt idx="0">
                  <c:v>Sales forecasts</c:v>
                </c:pt>
              </c:strCache>
            </c:strRef>
          </c:tx>
          <c:invertIfNegative val="0"/>
          <c:cat>
            <c:strRef>
              <c:f>'Sales forecasts'!$F$4:$Q$4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'Sales forecasts'!$F$8:$Q$8</c:f>
              <c:numCache>
                <c:formatCode>#,##0</c:formatCode>
                <c:ptCount val="12"/>
                <c:pt idx="0">
                  <c:v>7590</c:v>
                </c:pt>
                <c:pt idx="1">
                  <c:v>8400</c:v>
                </c:pt>
                <c:pt idx="2">
                  <c:v>10200</c:v>
                </c:pt>
                <c:pt idx="3">
                  <c:v>9000</c:v>
                </c:pt>
                <c:pt idx="4">
                  <c:v>11790</c:v>
                </c:pt>
                <c:pt idx="5">
                  <c:v>6990</c:v>
                </c:pt>
                <c:pt idx="6">
                  <c:v>8610</c:v>
                </c:pt>
                <c:pt idx="7">
                  <c:v>12600</c:v>
                </c:pt>
                <c:pt idx="8">
                  <c:v>14400</c:v>
                </c:pt>
                <c:pt idx="9">
                  <c:v>12810</c:v>
                </c:pt>
                <c:pt idx="10">
                  <c:v>15810</c:v>
                </c:pt>
                <c:pt idx="11">
                  <c:v>11790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D-42FC-91F1-1B4833BC6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761920"/>
        <c:axId val="199540736"/>
      </c:barChart>
      <c:catAx>
        <c:axId val="199761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9540736"/>
        <c:crosses val="autoZero"/>
        <c:auto val="1"/>
        <c:lblAlgn val="ctr"/>
        <c:lblOffset val="100"/>
        <c:noMultiLvlLbl val="0"/>
      </c:catAx>
      <c:valAx>
        <c:axId val="1995407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99761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Cumulative Sales Forecasts and Cumultaive Production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643285214348207"/>
          <c:y val="0.19041990990560781"/>
          <c:w val="0.83673250218722672"/>
          <c:h val="0.70886880132885011"/>
        </c:manualLayout>
      </c:layout>
      <c:lineChart>
        <c:grouping val="standard"/>
        <c:varyColors val="0"/>
        <c:ser>
          <c:idx val="0"/>
          <c:order val="0"/>
          <c:tx>
            <c:strRef>
              <c:f>'Sales forecasts'!$A$11</c:f>
              <c:strCache>
                <c:ptCount val="1"/>
                <c:pt idx="0">
                  <c:v>Cumulative sales forecasts</c:v>
                </c:pt>
              </c:strCache>
            </c:strRef>
          </c:tx>
          <c:cat>
            <c:strRef>
              <c:f>('Sales forecasts'!$E$2,'Sales forecasts'!$F$4:$Q$4)</c:f>
              <c:strCache>
                <c:ptCount val="13"/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'Sales forecasts'!$E$11:$Q$11</c:f>
              <c:numCache>
                <c:formatCode>#,##0</c:formatCode>
                <c:ptCount val="13"/>
                <c:pt idx="0">
                  <c:v>0</c:v>
                </c:pt>
                <c:pt idx="1">
                  <c:v>253</c:v>
                </c:pt>
                <c:pt idx="2">
                  <c:v>533</c:v>
                </c:pt>
                <c:pt idx="3">
                  <c:v>873</c:v>
                </c:pt>
                <c:pt idx="4">
                  <c:v>1173</c:v>
                </c:pt>
                <c:pt idx="5">
                  <c:v>1566</c:v>
                </c:pt>
                <c:pt idx="6">
                  <c:v>1799</c:v>
                </c:pt>
                <c:pt idx="7">
                  <c:v>2086</c:v>
                </c:pt>
                <c:pt idx="8">
                  <c:v>2506</c:v>
                </c:pt>
                <c:pt idx="9">
                  <c:v>2986</c:v>
                </c:pt>
                <c:pt idx="10">
                  <c:v>3413</c:v>
                </c:pt>
                <c:pt idx="11">
                  <c:v>3940</c:v>
                </c:pt>
                <c:pt idx="12">
                  <c:v>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BB-4208-A8C6-97E0B7897534}"/>
            </c:ext>
          </c:extLst>
        </c:ser>
        <c:ser>
          <c:idx val="1"/>
          <c:order val="1"/>
          <c:tx>
            <c:strRef>
              <c:f>'Sales forecasts'!$A$12</c:f>
              <c:strCache>
                <c:ptCount val="1"/>
                <c:pt idx="0">
                  <c:v>Cumulative smoothed production</c:v>
                </c:pt>
              </c:strCache>
            </c:strRef>
          </c:tx>
          <c:spPr>
            <a:ln>
              <a:prstDash val="dash"/>
            </a:ln>
          </c:spPr>
          <c:marker>
            <c:symbol val="x"/>
            <c:size val="7"/>
          </c:marker>
          <c:cat>
            <c:strRef>
              <c:f>('Sales forecasts'!$E$2,'Sales forecasts'!$F$4:$Q$4)</c:f>
              <c:strCache>
                <c:ptCount val="13"/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'Sales forecasts'!$E$12:$Q$12</c:f>
              <c:numCache>
                <c:formatCode>#,##0</c:formatCode>
                <c:ptCount val="13"/>
                <c:pt idx="0">
                  <c:v>0</c:v>
                </c:pt>
                <c:pt idx="1">
                  <c:v>361.08333333333331</c:v>
                </c:pt>
                <c:pt idx="2">
                  <c:v>722.16666666666663</c:v>
                </c:pt>
                <c:pt idx="3">
                  <c:v>1083.25</c:v>
                </c:pt>
                <c:pt idx="4">
                  <c:v>1444.3333333333333</c:v>
                </c:pt>
                <c:pt idx="5">
                  <c:v>1805.4166666666665</c:v>
                </c:pt>
                <c:pt idx="6">
                  <c:v>2166.5</c:v>
                </c:pt>
                <c:pt idx="7">
                  <c:v>2527.5833333333335</c:v>
                </c:pt>
                <c:pt idx="8">
                  <c:v>2888.666666666667</c:v>
                </c:pt>
                <c:pt idx="9">
                  <c:v>3249.7500000000005</c:v>
                </c:pt>
                <c:pt idx="10">
                  <c:v>3610.8333333333339</c:v>
                </c:pt>
                <c:pt idx="11">
                  <c:v>3971.9166666666674</c:v>
                </c:pt>
                <c:pt idx="12">
                  <c:v>4333.0000000000009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BB-4208-A8C6-97E0B7897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62944"/>
        <c:axId val="199542464"/>
      </c:lineChart>
      <c:catAx>
        <c:axId val="199762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9542464"/>
        <c:crosses val="autoZero"/>
        <c:auto val="1"/>
        <c:lblAlgn val="ctr"/>
        <c:lblOffset val="100"/>
        <c:noMultiLvlLbl val="0"/>
      </c:catAx>
      <c:valAx>
        <c:axId val="199542464"/>
        <c:scaling>
          <c:orientation val="minMax"/>
          <c:max val="450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997629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538757655293089"/>
          <c:y val="0.20041250347615291"/>
          <c:w val="0.49294575678040242"/>
          <c:h val="0.1501225197590616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07174103237096E-2"/>
          <c:y val="5.1400554097404488E-2"/>
          <c:w val="0.86653805774278203"/>
          <c:h val="0.7803244386118402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'S&amp;OP'!$A$24</c:f>
              <c:strCache>
                <c:ptCount val="1"/>
                <c:pt idx="0">
                  <c:v>Planned production – Production plan</c:v>
                </c:pt>
              </c:strCache>
            </c:strRef>
          </c:tx>
          <c:cat>
            <c:strRef>
              <c:f>'S&amp;OP'!$F$13:$Q$13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'S&amp;OP'!$F$24:$Q$24</c:f>
              <c:numCache>
                <c:formatCode>General</c:formatCode>
                <c:ptCount val="12"/>
                <c:pt idx="0">
                  <c:v>253</c:v>
                </c:pt>
                <c:pt idx="1">
                  <c:v>280</c:v>
                </c:pt>
                <c:pt idx="2">
                  <c:v>340</c:v>
                </c:pt>
                <c:pt idx="3">
                  <c:v>300</c:v>
                </c:pt>
                <c:pt idx="4">
                  <c:v>393</c:v>
                </c:pt>
                <c:pt idx="5">
                  <c:v>233</c:v>
                </c:pt>
                <c:pt idx="6">
                  <c:v>287</c:v>
                </c:pt>
                <c:pt idx="7">
                  <c:v>420</c:v>
                </c:pt>
                <c:pt idx="8">
                  <c:v>480</c:v>
                </c:pt>
                <c:pt idx="9">
                  <c:v>427</c:v>
                </c:pt>
                <c:pt idx="10">
                  <c:v>527</c:v>
                </c:pt>
                <c:pt idx="11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4-41F9-B7BE-EFBD28891304}"/>
            </c:ext>
          </c:extLst>
        </c:ser>
        <c:ser>
          <c:idx val="1"/>
          <c:order val="1"/>
          <c:tx>
            <c:strRef>
              <c:f>'S&amp;OP'!$A$52</c:f>
              <c:strCache>
                <c:ptCount val="1"/>
                <c:pt idx="0">
                  <c:v>Cumulative Prod. + Opening Inventory</c:v>
                </c:pt>
              </c:strCache>
            </c:strRef>
          </c:tx>
          <c:cat>
            <c:strRef>
              <c:f>'S&amp;OP'!$F$13:$Q$13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'S&amp;OP'!$F$50:$Q$50</c:f>
              <c:numCache>
                <c:formatCode>#\ ##0.0</c:formatCode>
                <c:ptCount val="12"/>
                <c:pt idx="0">
                  <c:v>468</c:v>
                </c:pt>
                <c:pt idx="1">
                  <c:v>495</c:v>
                </c:pt>
                <c:pt idx="2">
                  <c:v>555</c:v>
                </c:pt>
                <c:pt idx="3">
                  <c:v>515</c:v>
                </c:pt>
                <c:pt idx="4">
                  <c:v>608</c:v>
                </c:pt>
                <c:pt idx="5">
                  <c:v>448</c:v>
                </c:pt>
                <c:pt idx="6">
                  <c:v>502</c:v>
                </c:pt>
                <c:pt idx="7">
                  <c:v>635</c:v>
                </c:pt>
                <c:pt idx="8">
                  <c:v>695</c:v>
                </c:pt>
                <c:pt idx="9">
                  <c:v>642</c:v>
                </c:pt>
                <c:pt idx="10">
                  <c:v>742</c:v>
                </c:pt>
                <c:pt idx="11">
                  <c:v>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44-41F9-B7BE-EFBD28891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932672"/>
        <c:axId val="199544768"/>
      </c:lineChart>
      <c:catAx>
        <c:axId val="195932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9544768"/>
        <c:crosses val="autoZero"/>
        <c:auto val="1"/>
        <c:lblAlgn val="ctr"/>
        <c:lblOffset val="100"/>
        <c:noMultiLvlLbl val="1"/>
      </c:catAx>
      <c:valAx>
        <c:axId val="199544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93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4983202099737525"/>
          <c:y val="0.52238043161271508"/>
          <c:w val="0.30219961693977443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'S&amp;OP'!$F$60:$Q$60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'S&amp;OP'!$F$65:$Q$65</c:f>
              <c:numCache>
                <c:formatCode>General</c:formatCode>
                <c:ptCount val="12"/>
                <c:pt idx="0">
                  <c:v>253</c:v>
                </c:pt>
                <c:pt idx="1">
                  <c:v>280</c:v>
                </c:pt>
                <c:pt idx="2">
                  <c:v>340</c:v>
                </c:pt>
                <c:pt idx="3">
                  <c:v>300</c:v>
                </c:pt>
                <c:pt idx="4">
                  <c:v>393</c:v>
                </c:pt>
                <c:pt idx="5">
                  <c:v>233</c:v>
                </c:pt>
                <c:pt idx="6">
                  <c:v>287</c:v>
                </c:pt>
                <c:pt idx="7">
                  <c:v>420</c:v>
                </c:pt>
                <c:pt idx="8">
                  <c:v>480</c:v>
                </c:pt>
                <c:pt idx="9">
                  <c:v>427</c:v>
                </c:pt>
                <c:pt idx="10">
                  <c:v>527</c:v>
                </c:pt>
                <c:pt idx="11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2-4B6A-B1C6-CC7E28B746D0}"/>
            </c:ext>
          </c:extLst>
        </c:ser>
        <c:ser>
          <c:idx val="1"/>
          <c:order val="1"/>
          <c:cat>
            <c:strRef>
              <c:f>'S&amp;OP'!$F$60:$Q$60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'S&amp;OP'!$F$97:$Q$97</c:f>
              <c:numCache>
                <c:formatCode>#\ ##0.0</c:formatCode>
                <c:ptCount val="12"/>
                <c:pt idx="0">
                  <c:v>171.33333333333334</c:v>
                </c:pt>
                <c:pt idx="1">
                  <c:v>361.15942028985506</c:v>
                </c:pt>
                <c:pt idx="2">
                  <c:v>416.08695652173913</c:v>
                </c:pt>
                <c:pt idx="3">
                  <c:v>403.63636363636363</c:v>
                </c:pt>
                <c:pt idx="4">
                  <c:v>409.59090909090907</c:v>
                </c:pt>
                <c:pt idx="5">
                  <c:v>467.04545454545456</c:v>
                </c:pt>
                <c:pt idx="6">
                  <c:v>326.10869565217388</c:v>
                </c:pt>
                <c:pt idx="7">
                  <c:v>568.695652173913</c:v>
                </c:pt>
                <c:pt idx="8">
                  <c:v>554.09090909090912</c:v>
                </c:pt>
                <c:pt idx="9">
                  <c:v>593.4545454545455</c:v>
                </c:pt>
                <c:pt idx="10">
                  <c:v>591.75</c:v>
                </c:pt>
                <c:pt idx="11">
                  <c:v>428.25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62-4B6A-B1C6-CC7E28B74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65504"/>
        <c:axId val="199547072"/>
      </c:lineChart>
      <c:catAx>
        <c:axId val="199765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9547072"/>
        <c:crosses val="autoZero"/>
        <c:auto val="1"/>
        <c:lblAlgn val="ctr"/>
        <c:lblOffset val="100"/>
        <c:noMultiLvlLbl val="1"/>
      </c:catAx>
      <c:valAx>
        <c:axId val="199547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765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'S&amp;OP'!$F$112:$Q$112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'S&amp;OP'!$F$117:$Q$117</c:f>
              <c:numCache>
                <c:formatCode>General</c:formatCode>
                <c:ptCount val="12"/>
                <c:pt idx="0">
                  <c:v>253</c:v>
                </c:pt>
                <c:pt idx="1">
                  <c:v>280</c:v>
                </c:pt>
                <c:pt idx="2">
                  <c:v>340</c:v>
                </c:pt>
                <c:pt idx="3">
                  <c:v>300</c:v>
                </c:pt>
                <c:pt idx="4">
                  <c:v>393</c:v>
                </c:pt>
                <c:pt idx="5">
                  <c:v>233</c:v>
                </c:pt>
                <c:pt idx="6">
                  <c:v>287</c:v>
                </c:pt>
                <c:pt idx="7">
                  <c:v>420</c:v>
                </c:pt>
                <c:pt idx="8">
                  <c:v>480</c:v>
                </c:pt>
                <c:pt idx="9">
                  <c:v>427</c:v>
                </c:pt>
                <c:pt idx="10">
                  <c:v>527</c:v>
                </c:pt>
                <c:pt idx="11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F-476D-A17E-9AC23B409A45}"/>
            </c:ext>
          </c:extLst>
        </c:ser>
        <c:ser>
          <c:idx val="1"/>
          <c:order val="1"/>
          <c:cat>
            <c:strRef>
              <c:f>'S&amp;OP'!$F$112:$Q$112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'S&amp;OP'!$F$149:$Q$149</c:f>
              <c:numCache>
                <c:formatCode>#\ ##0.0</c:formatCode>
                <c:ptCount val="12"/>
                <c:pt idx="0">
                  <c:v>650.84773662551424</c:v>
                </c:pt>
                <c:pt idx="1">
                  <c:v>749.71399176954719</c:v>
                </c:pt>
                <c:pt idx="2">
                  <c:v>840.24382716049365</c:v>
                </c:pt>
                <c:pt idx="3">
                  <c:v>833.00411522633726</c:v>
                </c:pt>
                <c:pt idx="4">
                  <c:v>853.31275720164604</c:v>
                </c:pt>
                <c:pt idx="5">
                  <c:v>999.17901234567898</c:v>
                </c:pt>
                <c:pt idx="6">
                  <c:v>677.73662551440316</c:v>
                </c:pt>
                <c:pt idx="7">
                  <c:v>877.69958847736609</c:v>
                </c:pt>
                <c:pt idx="8">
                  <c:v>690.4598765432097</c:v>
                </c:pt>
                <c:pt idx="9">
                  <c:v>676.76851851851848</c:v>
                </c:pt>
                <c:pt idx="10">
                  <c:v>459.74999999999983</c:v>
                </c:pt>
                <c:pt idx="11">
                  <c:v>411.17386831275718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DF-476D-A17E-9AC23B409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47360"/>
        <c:axId val="200942144"/>
      </c:lineChart>
      <c:catAx>
        <c:axId val="200847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0942144"/>
        <c:crosses val="autoZero"/>
        <c:auto val="1"/>
        <c:lblAlgn val="ctr"/>
        <c:lblOffset val="100"/>
        <c:noMultiLvlLbl val="1"/>
      </c:catAx>
      <c:valAx>
        <c:axId val="200942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847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3.012863247863248E-2"/>
          <c:w val="0.8267462817147857"/>
          <c:h val="0.87794081196581197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'S&amp;OP'!$A$150</c:f>
              <c:strCache>
                <c:ptCount val="1"/>
                <c:pt idx="0">
                  <c:v>Cumulative Sales</c:v>
                </c:pt>
              </c:strCache>
            </c:strRef>
          </c:tx>
          <c:cat>
            <c:strRef>
              <c:f>'S&amp;OP'!$E$112:$Q$112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'S&amp;OP'!$E$150:$Q$150</c:f>
              <c:numCache>
                <c:formatCode>#\ ##0.0</c:formatCode>
                <c:ptCount val="13"/>
                <c:pt idx="1">
                  <c:v>253</c:v>
                </c:pt>
                <c:pt idx="2">
                  <c:v>533</c:v>
                </c:pt>
                <c:pt idx="3">
                  <c:v>873</c:v>
                </c:pt>
                <c:pt idx="4">
                  <c:v>1173</c:v>
                </c:pt>
                <c:pt idx="5">
                  <c:v>1566</c:v>
                </c:pt>
                <c:pt idx="6">
                  <c:v>1799</c:v>
                </c:pt>
                <c:pt idx="7">
                  <c:v>2086</c:v>
                </c:pt>
                <c:pt idx="8">
                  <c:v>2506</c:v>
                </c:pt>
                <c:pt idx="9">
                  <c:v>2986</c:v>
                </c:pt>
                <c:pt idx="10">
                  <c:v>3413</c:v>
                </c:pt>
                <c:pt idx="11">
                  <c:v>3940</c:v>
                </c:pt>
                <c:pt idx="12">
                  <c:v>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6B-4703-A5D1-F02FF0173ECE}"/>
            </c:ext>
          </c:extLst>
        </c:ser>
        <c:ser>
          <c:idx val="1"/>
          <c:order val="1"/>
          <c:tx>
            <c:strRef>
              <c:f>'S&amp;OP'!$A$151</c:f>
              <c:strCache>
                <c:ptCount val="1"/>
                <c:pt idx="0">
                  <c:v>Cumulative Prod. + Opening Inventory</c:v>
                </c:pt>
              </c:strCache>
            </c:strRef>
          </c:tx>
          <c:cat>
            <c:strRef>
              <c:f>'S&amp;OP'!$E$112:$Q$112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'S&amp;OP'!$E$151:$Q$151</c:f>
              <c:numCache>
                <c:formatCode>#\ ##0.0</c:formatCode>
                <c:ptCount val="13"/>
                <c:pt idx="0" formatCode="General">
                  <c:v>215</c:v>
                </c:pt>
                <c:pt idx="1">
                  <c:v>559.42386831275712</c:v>
                </c:pt>
                <c:pt idx="2">
                  <c:v>921.06893004115227</c:v>
                </c:pt>
                <c:pt idx="3">
                  <c:v>1317.156378600823</c:v>
                </c:pt>
                <c:pt idx="4">
                  <c:v>1661.5802469135801</c:v>
                </c:pt>
                <c:pt idx="5">
                  <c:v>2040.4465020576131</c:v>
                </c:pt>
                <c:pt idx="6">
                  <c:v>2419.312757201646</c:v>
                </c:pt>
                <c:pt idx="7">
                  <c:v>2591.5246913580245</c:v>
                </c:pt>
                <c:pt idx="8">
                  <c:v>2987.6121399176955</c:v>
                </c:pt>
                <c:pt idx="9">
                  <c:v>3332.0360082304528</c:v>
                </c:pt>
                <c:pt idx="10">
                  <c:v>3710.9022633744858</c:v>
                </c:pt>
                <c:pt idx="11">
                  <c:v>4055.3261316872431</c:v>
                </c:pt>
                <c:pt idx="12">
                  <c:v>4399.75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6B-4703-A5D1-F02FF0173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47872"/>
        <c:axId val="200945024"/>
      </c:lineChart>
      <c:catAx>
        <c:axId val="200847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0945024"/>
        <c:crosses val="autoZero"/>
        <c:auto val="1"/>
        <c:lblAlgn val="ctr"/>
        <c:lblOffset val="100"/>
        <c:noMultiLvlLbl val="1"/>
      </c:catAx>
      <c:valAx>
        <c:axId val="200945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8478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134580052493443"/>
          <c:y val="4.0938888888888893E-2"/>
          <c:w val="0.31504288194444446"/>
          <c:h val="0.1637205128205128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3.012863247863248E-2"/>
          <c:w val="0.84896850393700796"/>
          <c:h val="0.87794081196581197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'S&amp;OP'!$A$199</c:f>
              <c:strCache>
                <c:ptCount val="1"/>
                <c:pt idx="0">
                  <c:v>Cumulative Sales</c:v>
                </c:pt>
              </c:strCache>
            </c:strRef>
          </c:tx>
          <c:cat>
            <c:strRef>
              <c:f>'S&amp;OP'!$E$161:$Q$161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'S&amp;OP'!$E$199:$Q$199</c:f>
              <c:numCache>
                <c:formatCode>#\ ##0.0</c:formatCode>
                <c:ptCount val="13"/>
                <c:pt idx="1">
                  <c:v>253</c:v>
                </c:pt>
                <c:pt idx="2">
                  <c:v>533</c:v>
                </c:pt>
                <c:pt idx="3">
                  <c:v>873</c:v>
                </c:pt>
                <c:pt idx="4">
                  <c:v>1173</c:v>
                </c:pt>
                <c:pt idx="5">
                  <c:v>1566</c:v>
                </c:pt>
                <c:pt idx="6">
                  <c:v>1799</c:v>
                </c:pt>
                <c:pt idx="7">
                  <c:v>2086</c:v>
                </c:pt>
                <c:pt idx="8">
                  <c:v>2506</c:v>
                </c:pt>
                <c:pt idx="9">
                  <c:v>2986</c:v>
                </c:pt>
                <c:pt idx="10">
                  <c:v>3413</c:v>
                </c:pt>
                <c:pt idx="11">
                  <c:v>3940</c:v>
                </c:pt>
                <c:pt idx="12">
                  <c:v>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6-4ABD-9431-2907FA74648A}"/>
            </c:ext>
          </c:extLst>
        </c:ser>
        <c:ser>
          <c:idx val="1"/>
          <c:order val="1"/>
          <c:tx>
            <c:strRef>
              <c:f>'S&amp;OP'!$A$200</c:f>
              <c:strCache>
                <c:ptCount val="1"/>
                <c:pt idx="0">
                  <c:v>Cumulative Prod. + Opening Inventory</c:v>
                </c:pt>
              </c:strCache>
            </c:strRef>
          </c:tx>
          <c:cat>
            <c:strRef>
              <c:f>'S&amp;OP'!$E$161:$Q$161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'S&amp;OP'!$E$200:$Q$200</c:f>
              <c:numCache>
                <c:formatCode>#\ ##0.0</c:formatCode>
                <c:ptCount val="13"/>
                <c:pt idx="0" formatCode="General">
                  <c:v>215</c:v>
                </c:pt>
                <c:pt idx="1">
                  <c:v>444</c:v>
                </c:pt>
                <c:pt idx="2">
                  <c:v>684</c:v>
                </c:pt>
                <c:pt idx="3">
                  <c:v>949</c:v>
                </c:pt>
                <c:pt idx="4">
                  <c:v>1268</c:v>
                </c:pt>
                <c:pt idx="5">
                  <c:v>1620</c:v>
                </c:pt>
                <c:pt idx="6">
                  <c:v>1982</c:v>
                </c:pt>
                <c:pt idx="7">
                  <c:v>2178</c:v>
                </c:pt>
                <c:pt idx="8">
                  <c:v>2629</c:v>
                </c:pt>
                <c:pt idx="9">
                  <c:v>3084</c:v>
                </c:pt>
                <c:pt idx="10">
                  <c:v>3584</c:v>
                </c:pt>
                <c:pt idx="11">
                  <c:v>4039</c:v>
                </c:pt>
                <c:pt idx="12">
                  <c:v>4494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6-4ABD-9431-2907FA746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48384"/>
        <c:axId val="200947328"/>
      </c:lineChart>
      <c:catAx>
        <c:axId val="200848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0947328"/>
        <c:crosses val="autoZero"/>
        <c:auto val="1"/>
        <c:lblAlgn val="ctr"/>
        <c:lblOffset val="100"/>
        <c:noMultiLvlLbl val="1"/>
      </c:catAx>
      <c:valAx>
        <c:axId val="200947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8483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0135608048997"/>
          <c:y val="3.5511538461538462E-2"/>
          <c:w val="0.31504288194444446"/>
          <c:h val="0.1637205128205128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3.012863247863248E-2"/>
          <c:w val="0.8267462817147857"/>
          <c:h val="0.87794081196581197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'S&amp;OP'!$A$98</c:f>
              <c:strCache>
                <c:ptCount val="1"/>
                <c:pt idx="0">
                  <c:v>Cumulative Sales</c:v>
                </c:pt>
              </c:strCache>
            </c:strRef>
          </c:tx>
          <c:cat>
            <c:strRef>
              <c:f>'S&amp;OP'!$E$60:$Q$60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'S&amp;OP'!$E$98:$Q$98</c:f>
              <c:numCache>
                <c:formatCode>#\ ##0.0</c:formatCode>
                <c:ptCount val="13"/>
                <c:pt idx="1">
                  <c:v>253</c:v>
                </c:pt>
                <c:pt idx="2">
                  <c:v>533</c:v>
                </c:pt>
                <c:pt idx="3">
                  <c:v>873</c:v>
                </c:pt>
                <c:pt idx="4">
                  <c:v>1173</c:v>
                </c:pt>
                <c:pt idx="5">
                  <c:v>1566</c:v>
                </c:pt>
                <c:pt idx="6">
                  <c:v>1799</c:v>
                </c:pt>
                <c:pt idx="7">
                  <c:v>2086</c:v>
                </c:pt>
                <c:pt idx="8">
                  <c:v>2506</c:v>
                </c:pt>
                <c:pt idx="9">
                  <c:v>2986</c:v>
                </c:pt>
                <c:pt idx="10">
                  <c:v>3413</c:v>
                </c:pt>
                <c:pt idx="11">
                  <c:v>3940</c:v>
                </c:pt>
                <c:pt idx="12">
                  <c:v>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7-4F79-AD9E-4B36FCB60069}"/>
            </c:ext>
          </c:extLst>
        </c:ser>
        <c:ser>
          <c:idx val="1"/>
          <c:order val="1"/>
          <c:tx>
            <c:strRef>
              <c:f>'S&amp;OP'!$A$99</c:f>
              <c:strCache>
                <c:ptCount val="1"/>
                <c:pt idx="0">
                  <c:v>Cumulative Prod. + Opening Inventory</c:v>
                </c:pt>
              </c:strCache>
            </c:strRef>
          </c:tx>
          <c:cat>
            <c:strRef>
              <c:f>'S&amp;OP'!$E$60:$Q$60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'S&amp;OP'!$E$99:$Q$99</c:f>
              <c:numCache>
                <c:formatCode>#\ ##0.0</c:formatCode>
                <c:ptCount val="13"/>
                <c:pt idx="0" formatCode="General">
                  <c:v>215</c:v>
                </c:pt>
                <c:pt idx="1">
                  <c:v>319.66666666666669</c:v>
                </c:pt>
                <c:pt idx="2">
                  <c:v>606.91304347826087</c:v>
                </c:pt>
                <c:pt idx="3">
                  <c:v>948</c:v>
                </c:pt>
                <c:pt idx="4">
                  <c:v>1262.3181818181818</c:v>
                </c:pt>
                <c:pt idx="5">
                  <c:v>1618.9545454545455</c:v>
                </c:pt>
                <c:pt idx="6">
                  <c:v>1942.5</c:v>
                </c:pt>
                <c:pt idx="7">
                  <c:v>2177.304347826087</c:v>
                </c:pt>
                <c:pt idx="8">
                  <c:v>2626</c:v>
                </c:pt>
                <c:pt idx="9">
                  <c:v>3083.0454545454545</c:v>
                </c:pt>
                <c:pt idx="10">
                  <c:v>3544.75</c:v>
                </c:pt>
                <c:pt idx="11">
                  <c:v>4038.25</c:v>
                </c:pt>
                <c:pt idx="12">
                  <c:v>4399.75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7-4F79-AD9E-4B36FCB60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933184"/>
        <c:axId val="201932800"/>
      </c:lineChart>
      <c:catAx>
        <c:axId val="19593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32800"/>
        <c:crosses val="autoZero"/>
        <c:auto val="1"/>
        <c:lblAlgn val="ctr"/>
        <c:lblOffset val="100"/>
        <c:noMultiLvlLbl val="1"/>
      </c:catAx>
      <c:valAx>
        <c:axId val="201932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9331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0135608048997"/>
          <c:y val="4.6366239316239316E-2"/>
          <c:w val="0.31504288194444446"/>
          <c:h val="0.1637205128205128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3.012863247863248E-2"/>
          <c:w val="0.81563517060367463"/>
          <c:h val="0.87794081196581197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'S&amp;OP'!$A$51</c:f>
              <c:strCache>
                <c:ptCount val="1"/>
                <c:pt idx="0">
                  <c:v>Cumulative Sales</c:v>
                </c:pt>
              </c:strCache>
            </c:strRef>
          </c:tx>
          <c:cat>
            <c:strRef>
              <c:f>'S&amp;OP'!$E$13:$Q$13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'S&amp;OP'!$E$51:$Q$51</c:f>
              <c:numCache>
                <c:formatCode>#\ ##0.0</c:formatCode>
                <c:ptCount val="13"/>
                <c:pt idx="1">
                  <c:v>253</c:v>
                </c:pt>
                <c:pt idx="2">
                  <c:v>533</c:v>
                </c:pt>
                <c:pt idx="3">
                  <c:v>873</c:v>
                </c:pt>
                <c:pt idx="4">
                  <c:v>1173</c:v>
                </c:pt>
                <c:pt idx="5">
                  <c:v>1566</c:v>
                </c:pt>
                <c:pt idx="6">
                  <c:v>1799</c:v>
                </c:pt>
                <c:pt idx="7">
                  <c:v>2086</c:v>
                </c:pt>
                <c:pt idx="8">
                  <c:v>2506</c:v>
                </c:pt>
                <c:pt idx="9">
                  <c:v>2986</c:v>
                </c:pt>
                <c:pt idx="10">
                  <c:v>3413</c:v>
                </c:pt>
                <c:pt idx="11">
                  <c:v>3940</c:v>
                </c:pt>
                <c:pt idx="12">
                  <c:v>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F-4DA5-AC13-7209A3203C69}"/>
            </c:ext>
          </c:extLst>
        </c:ser>
        <c:ser>
          <c:idx val="1"/>
          <c:order val="1"/>
          <c:tx>
            <c:strRef>
              <c:f>'S&amp;OP'!$A$52</c:f>
              <c:strCache>
                <c:ptCount val="1"/>
                <c:pt idx="0">
                  <c:v>Cumulative Prod. + Opening Inventory</c:v>
                </c:pt>
              </c:strCache>
            </c:strRef>
          </c:tx>
          <c:cat>
            <c:strRef>
              <c:f>'S&amp;OP'!$E$13:$Q$13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'S&amp;OP'!$E$52:$Q$52</c:f>
              <c:numCache>
                <c:formatCode>#\ ##0.0</c:formatCode>
                <c:ptCount val="13"/>
                <c:pt idx="0" formatCode="General">
                  <c:v>215</c:v>
                </c:pt>
                <c:pt idx="1">
                  <c:v>468</c:v>
                </c:pt>
                <c:pt idx="2">
                  <c:v>748</c:v>
                </c:pt>
                <c:pt idx="3">
                  <c:v>1088</c:v>
                </c:pt>
                <c:pt idx="4">
                  <c:v>1388</c:v>
                </c:pt>
                <c:pt idx="5">
                  <c:v>1781</c:v>
                </c:pt>
                <c:pt idx="6">
                  <c:v>2014</c:v>
                </c:pt>
                <c:pt idx="7">
                  <c:v>2301</c:v>
                </c:pt>
                <c:pt idx="8">
                  <c:v>2721</c:v>
                </c:pt>
                <c:pt idx="9">
                  <c:v>3201</c:v>
                </c:pt>
                <c:pt idx="10">
                  <c:v>3628</c:v>
                </c:pt>
                <c:pt idx="11">
                  <c:v>4155</c:v>
                </c:pt>
                <c:pt idx="12">
                  <c:v>4548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DF-4DA5-AC13-7209A3203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48896"/>
        <c:axId val="201935104"/>
      </c:lineChart>
      <c:catAx>
        <c:axId val="200848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35104"/>
        <c:crosses val="autoZero"/>
        <c:auto val="1"/>
        <c:lblAlgn val="ctr"/>
        <c:lblOffset val="100"/>
        <c:noMultiLvlLbl val="1"/>
      </c:catAx>
      <c:valAx>
        <c:axId val="201935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8488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412357830271219"/>
          <c:y val="5.1793589743589753E-2"/>
          <c:w val="0.31504288194444446"/>
          <c:h val="0.1637205128205128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44685039370079"/>
          <c:y val="5.1400554097404488E-2"/>
          <c:w val="0.80037029746281718"/>
          <c:h val="0.79176254009915426"/>
        </c:manualLayout>
      </c:layout>
      <c:lineChart>
        <c:grouping val="standard"/>
        <c:varyColors val="0"/>
        <c:ser>
          <c:idx val="1"/>
          <c:order val="1"/>
          <c:tx>
            <c:strRef>
              <c:f>'S&amp;OP'!$E$190</c:f>
              <c:strCache>
                <c:ptCount val="1"/>
                <c:pt idx="0">
                  <c:v>Workforce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strRef>
              <c:f>'S&amp;OP'!$E$161:$Q$161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'S&amp;OP'!$E$173:$Q$173</c:f>
              <c:numCache>
                <c:formatCode>#,##0</c:formatCode>
                <c:ptCount val="13"/>
                <c:pt idx="0">
                  <c:v>1437.5</c:v>
                </c:pt>
                <c:pt idx="1">
                  <c:v>1431.25</c:v>
                </c:pt>
                <c:pt idx="2">
                  <c:v>1428.5714285714287</c:v>
                </c:pt>
                <c:pt idx="3">
                  <c:v>1440.2173913043478</c:v>
                </c:pt>
                <c:pt idx="4">
                  <c:v>1993.75</c:v>
                </c:pt>
                <c:pt idx="5">
                  <c:v>2000</c:v>
                </c:pt>
                <c:pt idx="6">
                  <c:v>2056.818181818182</c:v>
                </c:pt>
                <c:pt idx="7">
                  <c:v>2450</c:v>
                </c:pt>
                <c:pt idx="8">
                  <c:v>2451.086956521739</c:v>
                </c:pt>
                <c:pt idx="9">
                  <c:v>2843.75</c:v>
                </c:pt>
                <c:pt idx="10">
                  <c:v>2840.909090909091</c:v>
                </c:pt>
                <c:pt idx="11">
                  <c:v>2843.75</c:v>
                </c:pt>
                <c:pt idx="12">
                  <c:v>2843.75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B5-4F18-AC32-1F7C793BE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49408"/>
        <c:axId val="201937408"/>
      </c:lineChart>
      <c:lineChart>
        <c:grouping val="standard"/>
        <c:varyColors val="0"/>
        <c:ser>
          <c:idx val="0"/>
          <c:order val="0"/>
          <c:tx>
            <c:strRef>
              <c:f>'S&amp;OP'!$A$179</c:f>
              <c:strCache>
                <c:ptCount val="1"/>
                <c:pt idx="0">
                  <c:v>End-of-month inventory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squar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'S&amp;OP'!$E$161:$Q$161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('S&amp;OP'!$E$182,'S&amp;OP'!$F$180:$Q$180)</c:f>
              <c:numCache>
                <c:formatCode>0</c:formatCode>
                <c:ptCount val="13"/>
                <c:pt idx="0" formatCode="General">
                  <c:v>215</c:v>
                </c:pt>
                <c:pt idx="1">
                  <c:v>191</c:v>
                </c:pt>
                <c:pt idx="2">
                  <c:v>151</c:v>
                </c:pt>
                <c:pt idx="3">
                  <c:v>76</c:v>
                </c:pt>
                <c:pt idx="4">
                  <c:v>95</c:v>
                </c:pt>
                <c:pt idx="5">
                  <c:v>54</c:v>
                </c:pt>
                <c:pt idx="6">
                  <c:v>183</c:v>
                </c:pt>
                <c:pt idx="7">
                  <c:v>92</c:v>
                </c:pt>
                <c:pt idx="8">
                  <c:v>123</c:v>
                </c:pt>
                <c:pt idx="9">
                  <c:v>98</c:v>
                </c:pt>
                <c:pt idx="10">
                  <c:v>171</c:v>
                </c:pt>
                <c:pt idx="11">
                  <c:v>99</c:v>
                </c:pt>
                <c:pt idx="12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B5-4F18-AC32-1F7C793BE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50432"/>
        <c:axId val="201937984"/>
      </c:lineChart>
      <c:catAx>
        <c:axId val="200849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37408"/>
        <c:crosses val="autoZero"/>
        <c:auto val="1"/>
        <c:lblAlgn val="ctr"/>
        <c:lblOffset val="100"/>
        <c:noMultiLvlLbl val="0"/>
      </c:catAx>
      <c:valAx>
        <c:axId val="2019374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0849408"/>
        <c:crosses val="autoZero"/>
        <c:crossBetween val="midCat"/>
      </c:valAx>
      <c:valAx>
        <c:axId val="2019379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0850432"/>
        <c:crosses val="max"/>
        <c:crossBetween val="between"/>
      </c:valAx>
      <c:catAx>
        <c:axId val="200850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937984"/>
        <c:crosses val="autoZero"/>
        <c:auto val="1"/>
        <c:lblAlgn val="ctr"/>
        <c:lblOffset val="100"/>
        <c:noMultiLvlLbl val="0"/>
      </c:catAx>
      <c:spPr>
        <a:ln>
          <a:solidFill>
            <a:srgbClr val="C00000"/>
          </a:solidFill>
        </a:ln>
      </c:spPr>
    </c:plotArea>
    <c:legend>
      <c:legendPos val="r"/>
      <c:layout>
        <c:manualLayout>
          <c:xMode val="edge"/>
          <c:yMode val="edge"/>
          <c:x val="0.20304409722222222"/>
          <c:y val="5.421805555555554E-2"/>
          <c:w val="0.22706840277777779"/>
          <c:h val="0.12758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43285214348207"/>
          <c:y val="5.1400554097404488E-2"/>
          <c:w val="0.81309164479440055"/>
          <c:h val="0.79176254009915426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'S&amp;OP'!$E$141</c:f>
              <c:strCache>
                <c:ptCount val="1"/>
                <c:pt idx="0">
                  <c:v>Workforce</c:v>
                </c:pt>
              </c:strCache>
            </c:strRef>
          </c:tx>
          <c:cat>
            <c:strRef>
              <c:f>'S&amp;OP'!$E$112:$Q$112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'S&amp;OP'!$E$124:$Q$124</c:f>
              <c:numCache>
                <c:formatCode>#,##0</c:formatCode>
                <c:ptCount val="13"/>
                <c:pt idx="0">
                  <c:v>1437.5</c:v>
                </c:pt>
                <c:pt idx="1">
                  <c:v>2152.6491769547324</c:v>
                </c:pt>
                <c:pt idx="2">
                  <c:v>2152.6491769547324</c:v>
                </c:pt>
                <c:pt idx="3">
                  <c:v>2152.6491769547324</c:v>
                </c:pt>
                <c:pt idx="4">
                  <c:v>2152.6491769547324</c:v>
                </c:pt>
                <c:pt idx="5">
                  <c:v>2152.6491769547324</c:v>
                </c:pt>
                <c:pt idx="6">
                  <c:v>2152.6491769547324</c:v>
                </c:pt>
                <c:pt idx="7">
                  <c:v>2152.6491769547324</c:v>
                </c:pt>
                <c:pt idx="8">
                  <c:v>2152.6491769547324</c:v>
                </c:pt>
                <c:pt idx="9">
                  <c:v>2152.6491769547324</c:v>
                </c:pt>
                <c:pt idx="10">
                  <c:v>2152.6491769547324</c:v>
                </c:pt>
                <c:pt idx="11">
                  <c:v>2152.6491769547324</c:v>
                </c:pt>
                <c:pt idx="12">
                  <c:v>2152.6491769547324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C-4018-85D6-0DC9CB127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50944"/>
        <c:axId val="201940288"/>
      </c:lineChart>
      <c:lineChart>
        <c:grouping val="standard"/>
        <c:varyColors val="0"/>
        <c:ser>
          <c:idx val="1"/>
          <c:order val="1"/>
          <c:tx>
            <c:strRef>
              <c:f>'S&amp;OP'!$A$130</c:f>
              <c:strCache>
                <c:ptCount val="1"/>
                <c:pt idx="0">
                  <c:v>End-of-month inventory</c:v>
                </c:pt>
              </c:strCache>
            </c:strRef>
          </c:tx>
          <c:cat>
            <c:strRef>
              <c:f>'S&amp;OP'!$F$112:$Q$112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('S&amp;OP'!$E$133,'S&amp;OP'!$F$131:$Q$131)</c:f>
              <c:numCache>
                <c:formatCode>0</c:formatCode>
                <c:ptCount val="13"/>
                <c:pt idx="0" formatCode="General">
                  <c:v>215</c:v>
                </c:pt>
                <c:pt idx="1">
                  <c:v>306.42386831275712</c:v>
                </c:pt>
                <c:pt idx="2">
                  <c:v>388.06893004115216</c:v>
                </c:pt>
                <c:pt idx="3">
                  <c:v>444.1563786008229</c:v>
                </c:pt>
                <c:pt idx="4">
                  <c:v>488.58024691358014</c:v>
                </c:pt>
                <c:pt idx="5">
                  <c:v>474.44650205761309</c:v>
                </c:pt>
                <c:pt idx="6">
                  <c:v>620.31275720164604</c:v>
                </c:pt>
                <c:pt idx="7">
                  <c:v>505.5246913580246</c:v>
                </c:pt>
                <c:pt idx="8">
                  <c:v>481.61213991769534</c:v>
                </c:pt>
                <c:pt idx="9">
                  <c:v>346.03600823045258</c:v>
                </c:pt>
                <c:pt idx="10">
                  <c:v>297.90226337448553</c:v>
                </c:pt>
                <c:pt idx="11">
                  <c:v>115.32613168724265</c:v>
                </c:pt>
                <c:pt idx="12">
                  <c:v>66.75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C-4018-85D6-0DC9CB127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29920"/>
        <c:axId val="202096640"/>
      </c:lineChart>
      <c:catAx>
        <c:axId val="200850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40288"/>
        <c:crosses val="autoZero"/>
        <c:auto val="1"/>
        <c:lblAlgn val="ctr"/>
        <c:lblOffset val="100"/>
        <c:noMultiLvlLbl val="0"/>
      </c:catAx>
      <c:valAx>
        <c:axId val="2019402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0850944"/>
        <c:crosses val="autoZero"/>
        <c:crossBetween val="midCat"/>
      </c:valAx>
      <c:valAx>
        <c:axId val="202096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2129920"/>
        <c:crosses val="max"/>
        <c:crossBetween val="between"/>
      </c:valAx>
      <c:catAx>
        <c:axId val="202129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09664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2278184601924759"/>
          <c:y val="0.51813466025080201"/>
          <c:w val="0.22706840277777779"/>
          <c:h val="0.12758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43285214348207"/>
          <c:y val="5.1400554097404488E-2"/>
          <c:w val="0.82138429571303584"/>
          <c:h val="0.79176254009915426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'S&amp;OP'!$E$89</c:f>
              <c:strCache>
                <c:ptCount val="1"/>
                <c:pt idx="0">
                  <c:v>Workforce</c:v>
                </c:pt>
              </c:strCache>
            </c:strRef>
          </c:tx>
          <c:cat>
            <c:strRef>
              <c:f>'S&amp;OP'!$E$60:$Q$60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'S&amp;OP'!$E$72:$Q$72</c:f>
              <c:numCache>
                <c:formatCode>#,##0</c:formatCode>
                <c:ptCount val="13"/>
                <c:pt idx="0">
                  <c:v>1437.5</c:v>
                </c:pt>
                <c:pt idx="1">
                  <c:v>654.16666666666674</c:v>
                </c:pt>
                <c:pt idx="2">
                  <c:v>1709.7998619737748</c:v>
                </c:pt>
                <c:pt idx="3">
                  <c:v>1853.733459357278</c:v>
                </c:pt>
                <c:pt idx="4">
                  <c:v>1964.4886363636365</c:v>
                </c:pt>
                <c:pt idx="5">
                  <c:v>2026.3429752066115</c:v>
                </c:pt>
                <c:pt idx="6">
                  <c:v>1838.3264462809921</c:v>
                </c:pt>
                <c:pt idx="7">
                  <c:v>2935.054347826087</c:v>
                </c:pt>
                <c:pt idx="8">
                  <c:v>2438.5633270321364</c:v>
                </c:pt>
                <c:pt idx="9">
                  <c:v>2856.534090909091</c:v>
                </c:pt>
                <c:pt idx="10">
                  <c:v>2623.3212809917354</c:v>
                </c:pt>
                <c:pt idx="11">
                  <c:v>3084.375</c:v>
                </c:pt>
                <c:pt idx="12">
                  <c:v>2259.375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D-4831-8034-0CA7FC4F0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30432"/>
        <c:axId val="202098944"/>
      </c:lineChart>
      <c:lineChart>
        <c:grouping val="standard"/>
        <c:varyColors val="0"/>
        <c:ser>
          <c:idx val="1"/>
          <c:order val="1"/>
          <c:tx>
            <c:strRef>
              <c:f>'S&amp;OP'!$A$78</c:f>
              <c:strCache>
                <c:ptCount val="1"/>
                <c:pt idx="0">
                  <c:v>End-of-month inventory</c:v>
                </c:pt>
              </c:strCache>
            </c:strRef>
          </c:tx>
          <c:cat>
            <c:strRef>
              <c:f>'S&amp;OP'!$F$60:$Q$60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('S&amp;OP'!$E$81,'S&amp;OP'!$F$79:$Q$79)</c:f>
              <c:numCache>
                <c:formatCode>0</c:formatCode>
                <c:ptCount val="13"/>
                <c:pt idx="0" formatCode="General">
                  <c:v>215</c:v>
                </c:pt>
                <c:pt idx="1">
                  <c:v>66.666666666666671</c:v>
                </c:pt>
                <c:pt idx="2">
                  <c:v>73.913043478260875</c:v>
                </c:pt>
                <c:pt idx="3">
                  <c:v>75</c:v>
                </c:pt>
                <c:pt idx="4">
                  <c:v>89.318181818181813</c:v>
                </c:pt>
                <c:pt idx="5">
                  <c:v>52.954545454545453</c:v>
                </c:pt>
                <c:pt idx="6">
                  <c:v>143.5</c:v>
                </c:pt>
                <c:pt idx="7">
                  <c:v>91.304347826086953</c:v>
                </c:pt>
                <c:pt idx="8">
                  <c:v>120</c:v>
                </c:pt>
                <c:pt idx="9">
                  <c:v>97.045454545454547</c:v>
                </c:pt>
                <c:pt idx="10">
                  <c:v>131.75</c:v>
                </c:pt>
                <c:pt idx="11">
                  <c:v>98.25</c:v>
                </c:pt>
                <c:pt idx="12">
                  <c:v>66.75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0D-4831-8034-0CA7FC4F0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30944"/>
        <c:axId val="202099520"/>
      </c:lineChart>
      <c:catAx>
        <c:axId val="202130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2098944"/>
        <c:crosses val="autoZero"/>
        <c:auto val="1"/>
        <c:lblAlgn val="ctr"/>
        <c:lblOffset val="100"/>
        <c:noMultiLvlLbl val="0"/>
      </c:catAx>
      <c:valAx>
        <c:axId val="202098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2130432"/>
        <c:crosses val="autoZero"/>
        <c:crossBetween val="midCat"/>
      </c:valAx>
      <c:valAx>
        <c:axId val="202099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2130944"/>
        <c:crosses val="max"/>
        <c:crossBetween val="between"/>
      </c:valAx>
      <c:catAx>
        <c:axId val="20213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09952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1628704861111111"/>
          <c:y val="4.4810555555555555E-2"/>
          <c:w val="0.22706840277777779"/>
          <c:h val="0.12758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43285214348207"/>
          <c:y val="5.1400554097404488E-2"/>
          <c:w val="0.82138429571303584"/>
          <c:h val="0.79176254009915426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'S&amp;OP'!$E$42</c:f>
              <c:strCache>
                <c:ptCount val="1"/>
                <c:pt idx="0">
                  <c:v>Workforce</c:v>
                </c:pt>
              </c:strCache>
            </c:strRef>
          </c:tx>
          <c:cat>
            <c:strRef>
              <c:f>'S&amp;OP'!$E$13:$Q$13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'S&amp;OP'!$E$25:$Q$25</c:f>
              <c:numCache>
                <c:formatCode>#,##0</c:formatCode>
                <c:ptCount val="13"/>
                <c:pt idx="0">
                  <c:v>1437.5</c:v>
                </c:pt>
                <c:pt idx="1">
                  <c:v>1581.25</c:v>
                </c:pt>
                <c:pt idx="2">
                  <c:v>1666.6666666666667</c:v>
                </c:pt>
                <c:pt idx="3">
                  <c:v>1847.8260869565217</c:v>
                </c:pt>
                <c:pt idx="4">
                  <c:v>1875</c:v>
                </c:pt>
                <c:pt idx="5">
                  <c:v>2232.9545454545455</c:v>
                </c:pt>
                <c:pt idx="6">
                  <c:v>1323.8636363636363</c:v>
                </c:pt>
                <c:pt idx="7">
                  <c:v>3587.5</c:v>
                </c:pt>
                <c:pt idx="8">
                  <c:v>2282.608695652174</c:v>
                </c:pt>
                <c:pt idx="9">
                  <c:v>3000</c:v>
                </c:pt>
                <c:pt idx="10">
                  <c:v>2426.1363636363635</c:v>
                </c:pt>
                <c:pt idx="11">
                  <c:v>3293.75</c:v>
                </c:pt>
                <c:pt idx="12">
                  <c:v>2456.25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F-4080-853B-A96060B9F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31456"/>
        <c:axId val="202101824"/>
      </c:lineChart>
      <c:lineChart>
        <c:grouping val="standard"/>
        <c:varyColors val="0"/>
        <c:ser>
          <c:idx val="1"/>
          <c:order val="1"/>
          <c:tx>
            <c:strRef>
              <c:f>'S&amp;OP'!$A$31</c:f>
              <c:strCache>
                <c:ptCount val="1"/>
                <c:pt idx="0">
                  <c:v>End-of-month inventory</c:v>
                </c:pt>
              </c:strCache>
            </c:strRef>
          </c:tx>
          <c:cat>
            <c:strRef>
              <c:f>'S&amp;OP'!$E$13:$Q$13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('S&amp;OP'!$E$34,'S&amp;OP'!$F$32:$Q$32)</c:f>
              <c:numCache>
                <c:formatCode>General</c:formatCode>
                <c:ptCount val="13"/>
                <c:pt idx="0">
                  <c:v>215</c:v>
                </c:pt>
                <c:pt idx="1">
                  <c:v>215</c:v>
                </c:pt>
                <c:pt idx="2">
                  <c:v>215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215</c:v>
                </c:pt>
                <c:pt idx="7">
                  <c:v>215</c:v>
                </c:pt>
                <c:pt idx="8">
                  <c:v>215</c:v>
                </c:pt>
                <c:pt idx="9">
                  <c:v>215</c:v>
                </c:pt>
                <c:pt idx="10">
                  <c:v>215</c:v>
                </c:pt>
                <c:pt idx="11">
                  <c:v>215</c:v>
                </c:pt>
                <c:pt idx="12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F-4080-853B-A96060B9F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32480"/>
        <c:axId val="202102400"/>
      </c:lineChart>
      <c:catAx>
        <c:axId val="20213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2101824"/>
        <c:crosses val="autoZero"/>
        <c:auto val="1"/>
        <c:lblAlgn val="ctr"/>
        <c:lblOffset val="100"/>
        <c:noMultiLvlLbl val="0"/>
      </c:catAx>
      <c:valAx>
        <c:axId val="2021018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2131456"/>
        <c:crosses val="autoZero"/>
        <c:crossBetween val="midCat"/>
      </c:valAx>
      <c:valAx>
        <c:axId val="2021024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2132480"/>
        <c:crosses val="max"/>
        <c:crossBetween val="between"/>
      </c:valAx>
      <c:catAx>
        <c:axId val="202132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10240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0004068241469821"/>
          <c:y val="0.60146799358413527"/>
          <c:w val="0.22706840277777779"/>
          <c:h val="0.12758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14</xdr:row>
      <xdr:rowOff>66675</xdr:rowOff>
    </xdr:from>
    <xdr:to>
      <xdr:col>9</xdr:col>
      <xdr:colOff>552450</xdr:colOff>
      <xdr:row>36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447675</xdr:colOff>
      <xdr:row>14</xdr:row>
      <xdr:rowOff>61911</xdr:rowOff>
    </xdr:from>
    <xdr:to>
      <xdr:col>18</xdr:col>
      <xdr:colOff>371475</xdr:colOff>
      <xdr:row>36</xdr:row>
      <xdr:rowOff>142875</xdr:rowOff>
    </xdr:to>
    <xdr:graphicFrame macro="">
      <xdr:nvGraphicFramePr>
        <xdr:cNvPr id="3" name="Prévsions Commerciales et Production cumulées" title="Prévsions Commerciales et Production cumulée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813707</xdr:colOff>
      <xdr:row>12</xdr:row>
      <xdr:rowOff>10205</xdr:rowOff>
    </xdr:from>
    <xdr:to>
      <xdr:col>32</xdr:col>
      <xdr:colOff>541564</xdr:colOff>
      <xdr:row>25</xdr:row>
      <xdr:rowOff>86405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1219200</xdr:colOff>
      <xdr:row>59</xdr:row>
      <xdr:rowOff>42862</xdr:rowOff>
    </xdr:from>
    <xdr:to>
      <xdr:col>33</xdr:col>
      <xdr:colOff>171450</xdr:colOff>
      <xdr:row>72</xdr:row>
      <xdr:rowOff>119062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342899</xdr:colOff>
      <xdr:row>134</xdr:row>
      <xdr:rowOff>123826</xdr:rowOff>
    </xdr:from>
    <xdr:to>
      <xdr:col>17</xdr:col>
      <xdr:colOff>285750</xdr:colOff>
      <xdr:row>137</xdr:row>
      <xdr:rowOff>66675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381624" y="26298526"/>
          <a:ext cx="6915151" cy="523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/>
            <a:t>End-of-month inventory = End-of-previous-month inventory + Production in month i – Sales in month i</a:t>
          </a:r>
          <a:br>
            <a:rPr lang="fr-FR" sz="1100" baseline="0"/>
          </a:br>
          <a:r>
            <a:rPr lang="fr-FR" sz="1100" baseline="0"/>
            <a:t>End-of-month inventory coverage = End-of-month inventory ÷ Forecasted daily demand for the following month</a:t>
          </a:r>
          <a:endParaRPr lang="fr-FR" sz="1100" u="sng"/>
        </a:p>
      </xdr:txBody>
    </xdr:sp>
    <xdr:clientData/>
  </xdr:twoCellAnchor>
  <xdr:twoCellAnchor>
    <xdr:from>
      <xdr:col>24</xdr:col>
      <xdr:colOff>981075</xdr:colOff>
      <xdr:row>111</xdr:row>
      <xdr:rowOff>147637</xdr:rowOff>
    </xdr:from>
    <xdr:to>
      <xdr:col>32</xdr:col>
      <xdr:colOff>76200</xdr:colOff>
      <xdr:row>125</xdr:row>
      <xdr:rowOff>33337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10584</xdr:colOff>
      <xdr:row>129</xdr:row>
      <xdr:rowOff>33867</xdr:rowOff>
    </xdr:from>
    <xdr:to>
      <xdr:col>23</xdr:col>
      <xdr:colOff>849334</xdr:colOff>
      <xdr:row>153</xdr:row>
      <xdr:rowOff>78367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761999</xdr:colOff>
      <xdr:row>178</xdr:row>
      <xdr:rowOff>19050</xdr:rowOff>
    </xdr:from>
    <xdr:to>
      <xdr:col>23</xdr:col>
      <xdr:colOff>838749</xdr:colOff>
      <xdr:row>202</xdr:row>
      <xdr:rowOff>63550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9524</xdr:colOff>
      <xdr:row>77</xdr:row>
      <xdr:rowOff>74611</xdr:rowOff>
    </xdr:from>
    <xdr:to>
      <xdr:col>23</xdr:col>
      <xdr:colOff>848274</xdr:colOff>
      <xdr:row>101</xdr:row>
      <xdr:rowOff>119111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14816</xdr:colOff>
      <xdr:row>30</xdr:row>
      <xdr:rowOff>529</xdr:rowOff>
    </xdr:from>
    <xdr:to>
      <xdr:col>23</xdr:col>
      <xdr:colOff>853566</xdr:colOff>
      <xdr:row>54</xdr:row>
      <xdr:rowOff>45029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9525</xdr:colOff>
      <xdr:row>158</xdr:row>
      <xdr:rowOff>195262</xdr:rowOff>
    </xdr:from>
    <xdr:to>
      <xdr:col>23</xdr:col>
      <xdr:colOff>848275</xdr:colOff>
      <xdr:row>177</xdr:row>
      <xdr:rowOff>165179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110</xdr:row>
      <xdr:rowOff>4762</xdr:rowOff>
    </xdr:from>
    <xdr:to>
      <xdr:col>23</xdr:col>
      <xdr:colOff>838750</xdr:colOff>
      <xdr:row>128</xdr:row>
      <xdr:rowOff>175762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0</xdr:colOff>
      <xdr:row>58</xdr:row>
      <xdr:rowOff>14287</xdr:rowOff>
    </xdr:from>
    <xdr:to>
      <xdr:col>23</xdr:col>
      <xdr:colOff>838750</xdr:colOff>
      <xdr:row>76</xdr:row>
      <xdr:rowOff>185287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1512</xdr:colOff>
      <xdr:row>10</xdr:row>
      <xdr:rowOff>192465</xdr:rowOff>
    </xdr:from>
    <xdr:to>
      <xdr:col>23</xdr:col>
      <xdr:colOff>840262</xdr:colOff>
      <xdr:row>29</xdr:row>
      <xdr:rowOff>162381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2:R13"/>
  <sheetViews>
    <sheetView showGridLines="0" topLeftCell="A15" zoomScale="85" zoomScaleNormal="85" workbookViewId="0">
      <selection activeCell="A3" sqref="A3:S10"/>
    </sheetView>
  </sheetViews>
  <sheetFormatPr baseColWidth="10" defaultRowHeight="14.5" x14ac:dyDescent="0.35"/>
  <cols>
    <col min="1" max="1" width="31.81640625" bestFit="1" customWidth="1"/>
    <col min="3" max="18" width="8.7265625" customWidth="1"/>
  </cols>
  <sheetData>
    <row r="2" spans="1:18" ht="15" thickBot="1" x14ac:dyDescent="0.4"/>
    <row r="3" spans="1:18" x14ac:dyDescent="0.35">
      <c r="C3" s="81" t="s">
        <v>51</v>
      </c>
      <c r="D3" s="82"/>
      <c r="E3" s="83"/>
      <c r="F3" s="81" t="s">
        <v>43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22" t="s">
        <v>9</v>
      </c>
    </row>
    <row r="4" spans="1:18" x14ac:dyDescent="0.35">
      <c r="C4" s="24" t="s">
        <v>1</v>
      </c>
      <c r="D4" s="23" t="s">
        <v>2</v>
      </c>
      <c r="E4" s="25" t="s">
        <v>3</v>
      </c>
      <c r="F4" s="24" t="s">
        <v>4</v>
      </c>
      <c r="G4" s="23" t="s">
        <v>52</v>
      </c>
      <c r="H4" s="23" t="s">
        <v>53</v>
      </c>
      <c r="I4" s="23" t="s">
        <v>54</v>
      </c>
      <c r="J4" s="23" t="s">
        <v>55</v>
      </c>
      <c r="K4" s="23" t="s">
        <v>5</v>
      </c>
      <c r="L4" s="23" t="s">
        <v>56</v>
      </c>
      <c r="M4" s="23" t="s">
        <v>57</v>
      </c>
      <c r="N4" s="23" t="s">
        <v>58</v>
      </c>
      <c r="O4" s="23" t="s">
        <v>1</v>
      </c>
      <c r="P4" s="23" t="s">
        <v>6</v>
      </c>
      <c r="Q4" s="25" t="s">
        <v>3</v>
      </c>
      <c r="R4" s="26" t="s">
        <v>4</v>
      </c>
    </row>
    <row r="5" spans="1:18" x14ac:dyDescent="0.35">
      <c r="B5" s="7" t="s">
        <v>11</v>
      </c>
      <c r="C5" s="43">
        <v>1</v>
      </c>
      <c r="D5" s="44">
        <v>2</v>
      </c>
      <c r="E5" s="45">
        <v>3</v>
      </c>
      <c r="F5" s="43">
        <v>4</v>
      </c>
      <c r="G5" s="44">
        <v>5</v>
      </c>
      <c r="H5" s="44">
        <v>6</v>
      </c>
      <c r="I5" s="44">
        <v>7</v>
      </c>
      <c r="J5" s="44">
        <v>8</v>
      </c>
      <c r="K5" s="44">
        <v>9</v>
      </c>
      <c r="L5" s="44">
        <v>10</v>
      </c>
      <c r="M5" s="44">
        <v>11</v>
      </c>
      <c r="N5" s="44">
        <v>12</v>
      </c>
      <c r="O5" s="44">
        <v>13</v>
      </c>
      <c r="P5" s="44">
        <v>14</v>
      </c>
      <c r="Q5" s="44">
        <v>15</v>
      </c>
      <c r="R5" s="46"/>
    </row>
    <row r="6" spans="1:18" x14ac:dyDescent="0.35">
      <c r="B6" s="7" t="s">
        <v>12</v>
      </c>
      <c r="C6" s="43">
        <v>-3</v>
      </c>
      <c r="D6" s="44">
        <v>-2</v>
      </c>
      <c r="E6" s="45">
        <v>-1</v>
      </c>
      <c r="F6" s="43">
        <v>1</v>
      </c>
      <c r="G6" s="44">
        <v>2</v>
      </c>
      <c r="H6" s="44">
        <v>3</v>
      </c>
      <c r="I6" s="44">
        <v>4</v>
      </c>
      <c r="J6" s="44">
        <v>5</v>
      </c>
      <c r="K6" s="44">
        <v>6</v>
      </c>
      <c r="L6" s="44">
        <v>7</v>
      </c>
      <c r="M6" s="44">
        <v>8</v>
      </c>
      <c r="N6" s="44">
        <v>9</v>
      </c>
      <c r="O6" s="44">
        <v>10</v>
      </c>
      <c r="P6" s="44">
        <v>11</v>
      </c>
      <c r="Q6" s="44">
        <v>12</v>
      </c>
      <c r="R6" s="46"/>
    </row>
    <row r="7" spans="1:18" x14ac:dyDescent="0.35">
      <c r="A7" s="1" t="s">
        <v>35</v>
      </c>
      <c r="B7" s="2"/>
      <c r="C7" s="10"/>
      <c r="E7" s="11"/>
      <c r="F7" s="10"/>
      <c r="Q7" s="11"/>
      <c r="R7" s="20"/>
    </row>
    <row r="8" spans="1:18" x14ac:dyDescent="0.35">
      <c r="A8" t="s">
        <v>34</v>
      </c>
      <c r="B8" t="s">
        <v>10</v>
      </c>
      <c r="C8" s="12">
        <f>'S&amp;OP'!C17</f>
        <v>9990</v>
      </c>
      <c r="D8" s="3">
        <f>'S&amp;OP'!D17</f>
        <v>13110</v>
      </c>
      <c r="E8" s="13">
        <f>'S&amp;OP'!E17</f>
        <v>6900</v>
      </c>
      <c r="F8" s="12">
        <f>'S&amp;OP'!F17</f>
        <v>7590</v>
      </c>
      <c r="G8" s="3">
        <f>'S&amp;OP'!G17</f>
        <v>8400</v>
      </c>
      <c r="H8" s="3">
        <f>'S&amp;OP'!H17</f>
        <v>10200</v>
      </c>
      <c r="I8" s="3">
        <f>'S&amp;OP'!I17</f>
        <v>9000</v>
      </c>
      <c r="J8" s="3">
        <f>'S&amp;OP'!J17</f>
        <v>11790</v>
      </c>
      <c r="K8" s="3">
        <f>'S&amp;OP'!K17</f>
        <v>6990</v>
      </c>
      <c r="L8" s="3">
        <f>'S&amp;OP'!L17</f>
        <v>8610</v>
      </c>
      <c r="M8" s="3">
        <f>'S&amp;OP'!M17</f>
        <v>12600</v>
      </c>
      <c r="N8" s="3">
        <f>'S&amp;OP'!N17</f>
        <v>14400</v>
      </c>
      <c r="O8" s="3">
        <f>'S&amp;OP'!O17</f>
        <v>12810</v>
      </c>
      <c r="P8" s="3">
        <f>'S&amp;OP'!P17</f>
        <v>15810</v>
      </c>
      <c r="Q8" s="13">
        <f>'S&amp;OP'!Q17</f>
        <v>11790</v>
      </c>
      <c r="R8" s="34">
        <f>'S&amp;OP'!R17</f>
        <v>8010</v>
      </c>
    </row>
    <row r="9" spans="1:18" x14ac:dyDescent="0.35">
      <c r="B9" t="s">
        <v>66</v>
      </c>
      <c r="C9" s="12">
        <v>333</v>
      </c>
      <c r="D9" s="3">
        <v>437</v>
      </c>
      <c r="E9" s="13">
        <v>230</v>
      </c>
      <c r="F9" s="12">
        <v>253</v>
      </c>
      <c r="G9" s="3">
        <v>280</v>
      </c>
      <c r="H9" s="3">
        <v>340</v>
      </c>
      <c r="I9" s="3">
        <v>300</v>
      </c>
      <c r="J9" s="3">
        <v>393</v>
      </c>
      <c r="K9" s="3">
        <v>233</v>
      </c>
      <c r="L9" s="3">
        <v>287</v>
      </c>
      <c r="M9" s="3">
        <v>420</v>
      </c>
      <c r="N9" s="3">
        <v>480</v>
      </c>
      <c r="O9" s="3">
        <v>427</v>
      </c>
      <c r="P9" s="3">
        <v>527</v>
      </c>
      <c r="Q9" s="13">
        <v>393</v>
      </c>
      <c r="R9" s="34">
        <v>267</v>
      </c>
    </row>
    <row r="10" spans="1:18" x14ac:dyDescent="0.35">
      <c r="C10" s="12"/>
      <c r="D10" s="3"/>
      <c r="E10" s="13"/>
      <c r="F10" s="12"/>
      <c r="G10" s="3"/>
      <c r="H10" s="3"/>
      <c r="I10" s="3"/>
      <c r="J10" s="3"/>
      <c r="K10" s="3"/>
      <c r="L10" s="3"/>
      <c r="M10" s="3"/>
      <c r="N10" s="3"/>
      <c r="O10" s="3"/>
      <c r="P10" s="3"/>
      <c r="Q10" s="13"/>
      <c r="R10" s="34"/>
    </row>
    <row r="11" spans="1:18" x14ac:dyDescent="0.35">
      <c r="A11" t="s">
        <v>79</v>
      </c>
      <c r="B11" t="s">
        <v>66</v>
      </c>
      <c r="C11" s="12"/>
      <c r="D11" s="3"/>
      <c r="E11" s="13">
        <v>0</v>
      </c>
      <c r="F11" s="12">
        <f>SUM($F9:F9)</f>
        <v>253</v>
      </c>
      <c r="G11" s="3">
        <f>SUM($F9:G9)</f>
        <v>533</v>
      </c>
      <c r="H11" s="3">
        <f>SUM($F9:H9)</f>
        <v>873</v>
      </c>
      <c r="I11" s="3">
        <f>SUM($F9:I9)</f>
        <v>1173</v>
      </c>
      <c r="J11" s="3">
        <f>SUM($F9:J9)</f>
        <v>1566</v>
      </c>
      <c r="K11" s="3">
        <f>SUM($F9:K9)</f>
        <v>1799</v>
      </c>
      <c r="L11" s="3">
        <f>SUM($F9:L9)</f>
        <v>2086</v>
      </c>
      <c r="M11" s="3">
        <f>SUM($F9:M9)</f>
        <v>2506</v>
      </c>
      <c r="N11" s="3">
        <f>SUM($F9:N9)</f>
        <v>2986</v>
      </c>
      <c r="O11" s="3">
        <f>SUM($F9:O9)</f>
        <v>3413</v>
      </c>
      <c r="P11" s="3">
        <f>SUM($F9:P9)</f>
        <v>3940</v>
      </c>
      <c r="Q11" s="13">
        <f>SUM($F9:Q9)</f>
        <v>4333</v>
      </c>
      <c r="R11" s="34"/>
    </row>
    <row r="12" spans="1:18" x14ac:dyDescent="0.35">
      <c r="A12" t="s">
        <v>80</v>
      </c>
      <c r="B12" t="s">
        <v>66</v>
      </c>
      <c r="C12" s="12"/>
      <c r="D12" s="3"/>
      <c r="E12" s="13">
        <v>0</v>
      </c>
      <c r="F12" s="12">
        <f>SUM(F9:Q9)/12</f>
        <v>361.08333333333331</v>
      </c>
      <c r="G12" s="3">
        <f>$F12+F12</f>
        <v>722.16666666666663</v>
      </c>
      <c r="H12" s="3">
        <f t="shared" ref="H12:Q12" si="0">$F12+G12</f>
        <v>1083.25</v>
      </c>
      <c r="I12" s="3">
        <f t="shared" si="0"/>
        <v>1444.3333333333333</v>
      </c>
      <c r="J12" s="3">
        <f t="shared" si="0"/>
        <v>1805.4166666666665</v>
      </c>
      <c r="K12" s="3">
        <f t="shared" si="0"/>
        <v>2166.5</v>
      </c>
      <c r="L12" s="3">
        <f t="shared" si="0"/>
        <v>2527.5833333333335</v>
      </c>
      <c r="M12" s="3">
        <f t="shared" si="0"/>
        <v>2888.666666666667</v>
      </c>
      <c r="N12" s="3">
        <f t="shared" si="0"/>
        <v>3249.7500000000005</v>
      </c>
      <c r="O12" s="3">
        <f t="shared" si="0"/>
        <v>3610.8333333333339</v>
      </c>
      <c r="P12" s="3">
        <f t="shared" si="0"/>
        <v>3971.9166666666674</v>
      </c>
      <c r="Q12" s="13">
        <f t="shared" si="0"/>
        <v>4333.0000000000009</v>
      </c>
      <c r="R12" s="34"/>
    </row>
    <row r="13" spans="1:18" ht="15" thickBot="1" x14ac:dyDescent="0.4">
      <c r="C13" s="63"/>
      <c r="D13" s="64"/>
      <c r="E13" s="65"/>
      <c r="F13" s="63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5"/>
      <c r="R13" s="66"/>
    </row>
  </sheetData>
  <mergeCells count="2">
    <mergeCell ref="C3:E3"/>
    <mergeCell ref="F3:Q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X200"/>
  <sheetViews>
    <sheetView showGridLines="0" tabSelected="1" topLeftCell="B160" zoomScaleNormal="100" workbookViewId="0">
      <selection activeCell="F166" sqref="F166"/>
    </sheetView>
  </sheetViews>
  <sheetFormatPr baseColWidth="10" defaultRowHeight="14.5" x14ac:dyDescent="0.35"/>
  <cols>
    <col min="1" max="1" width="42.81640625" customWidth="1"/>
    <col min="3" max="18" width="8.7265625" customWidth="1"/>
    <col min="21" max="26" width="20.7265625" customWidth="1"/>
  </cols>
  <sheetData>
    <row r="1" spans="1:24" ht="43.5" x14ac:dyDescent="0.35">
      <c r="T1" t="s">
        <v>59</v>
      </c>
      <c r="U1" s="56" t="s">
        <v>14</v>
      </c>
      <c r="V1" s="56" t="s">
        <v>17</v>
      </c>
      <c r="W1" s="56" t="s">
        <v>15</v>
      </c>
      <c r="X1" s="56" t="s">
        <v>16</v>
      </c>
    </row>
    <row r="2" spans="1:24" x14ac:dyDescent="0.35">
      <c r="A2" t="s">
        <v>25</v>
      </c>
      <c r="B2" t="s">
        <v>7</v>
      </c>
      <c r="C2" s="76">
        <v>30</v>
      </c>
      <c r="F2" s="76" t="s">
        <v>19</v>
      </c>
      <c r="G2" t="s">
        <v>32</v>
      </c>
      <c r="T2" s="57" t="s">
        <v>49</v>
      </c>
      <c r="U2" s="59">
        <f>R45</f>
        <v>928.91916996047439</v>
      </c>
      <c r="V2" s="59">
        <f>R92</f>
        <v>669.58573859405192</v>
      </c>
      <c r="W2" s="59">
        <f>R144</f>
        <v>143.12983539094648</v>
      </c>
      <c r="X2" s="59">
        <f>R193</f>
        <v>283.60389610389609</v>
      </c>
    </row>
    <row r="3" spans="1:24" x14ac:dyDescent="0.35">
      <c r="A3" t="s">
        <v>26</v>
      </c>
      <c r="B3" t="s">
        <v>20</v>
      </c>
      <c r="C3" s="76">
        <v>8</v>
      </c>
      <c r="F3" s="75" t="s">
        <v>19</v>
      </c>
      <c r="G3" t="s">
        <v>33</v>
      </c>
      <c r="T3" t="s">
        <v>50</v>
      </c>
      <c r="U3" s="60">
        <f>R46</f>
        <v>1812.6729249011858</v>
      </c>
      <c r="V3" s="60">
        <f>R93</f>
        <v>1262.7768464851295</v>
      </c>
      <c r="W3" s="60">
        <f>R145</f>
        <v>0</v>
      </c>
      <c r="X3" s="60">
        <f>R194</f>
        <v>5.6347402597401697</v>
      </c>
    </row>
    <row r="4" spans="1:24" x14ac:dyDescent="0.35">
      <c r="A4" t="s">
        <v>27</v>
      </c>
      <c r="C4" s="76">
        <v>0</v>
      </c>
      <c r="T4" t="s">
        <v>62</v>
      </c>
      <c r="U4" s="61">
        <f>R47</f>
        <v>1548</v>
      </c>
      <c r="V4" s="61">
        <f>R94</f>
        <v>663.87134387351784</v>
      </c>
      <c r="W4" s="61">
        <f>R146</f>
        <v>2721.0839506172833</v>
      </c>
      <c r="X4" s="61">
        <f>R195</f>
        <v>896.4</v>
      </c>
    </row>
    <row r="5" spans="1:24" x14ac:dyDescent="0.35">
      <c r="A5" t="s">
        <v>28</v>
      </c>
      <c r="C5" s="76">
        <v>0.02</v>
      </c>
      <c r="T5" s="58" t="s">
        <v>18</v>
      </c>
      <c r="U5" s="62">
        <f>R48</f>
        <v>4289.5920948616604</v>
      </c>
      <c r="V5" s="62">
        <f>R95</f>
        <v>2596.233928952699</v>
      </c>
      <c r="W5" s="62">
        <f>R147</f>
        <v>2864.2137860082298</v>
      </c>
      <c r="X5" s="62">
        <f>R196</f>
        <v>1185.6386363636361</v>
      </c>
    </row>
    <row r="6" spans="1:24" x14ac:dyDescent="0.35">
      <c r="A6" t="s">
        <v>29</v>
      </c>
      <c r="B6" t="s">
        <v>10</v>
      </c>
      <c r="C6" s="76">
        <v>0.2</v>
      </c>
    </row>
    <row r="7" spans="1:24" x14ac:dyDescent="0.35">
      <c r="A7" t="s">
        <v>30</v>
      </c>
      <c r="B7" t="s">
        <v>10</v>
      </c>
      <c r="C7" s="76">
        <v>0.5</v>
      </c>
    </row>
    <row r="8" spans="1:24" x14ac:dyDescent="0.35">
      <c r="A8" t="s">
        <v>31</v>
      </c>
      <c r="C8" s="76">
        <v>1437</v>
      </c>
    </row>
    <row r="10" spans="1:24" ht="21" x14ac:dyDescent="0.5">
      <c r="A10" s="84" t="s">
        <v>21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</row>
    <row r="11" spans="1:24" ht="15" thickBot="1" x14ac:dyDescent="0.4"/>
    <row r="12" spans="1:24" x14ac:dyDescent="0.35">
      <c r="C12" s="81" t="s">
        <v>51</v>
      </c>
      <c r="D12" s="82"/>
      <c r="E12" s="83"/>
      <c r="F12" s="81" t="s">
        <v>43</v>
      </c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3"/>
      <c r="R12" s="22" t="s">
        <v>9</v>
      </c>
    </row>
    <row r="13" spans="1:24" x14ac:dyDescent="0.35">
      <c r="C13" s="24" t="s">
        <v>1</v>
      </c>
      <c r="D13" s="23" t="s">
        <v>2</v>
      </c>
      <c r="E13" s="25" t="s">
        <v>3</v>
      </c>
      <c r="F13" s="24" t="s">
        <v>4</v>
      </c>
      <c r="G13" s="23" t="s">
        <v>52</v>
      </c>
      <c r="H13" s="23" t="s">
        <v>53</v>
      </c>
      <c r="I13" s="23" t="s">
        <v>54</v>
      </c>
      <c r="J13" s="23" t="s">
        <v>55</v>
      </c>
      <c r="K13" s="23" t="s">
        <v>5</v>
      </c>
      <c r="L13" s="23" t="s">
        <v>56</v>
      </c>
      <c r="M13" s="23" t="s">
        <v>57</v>
      </c>
      <c r="N13" s="23" t="s">
        <v>58</v>
      </c>
      <c r="O13" s="23" t="s">
        <v>1</v>
      </c>
      <c r="P13" s="23" t="s">
        <v>6</v>
      </c>
      <c r="Q13" s="25" t="s">
        <v>3</v>
      </c>
      <c r="R13" s="26" t="s">
        <v>4</v>
      </c>
    </row>
    <row r="14" spans="1:24" x14ac:dyDescent="0.35">
      <c r="B14" s="7" t="s">
        <v>11</v>
      </c>
      <c r="C14" s="43">
        <v>1</v>
      </c>
      <c r="D14" s="44">
        <v>2</v>
      </c>
      <c r="E14" s="45">
        <v>3</v>
      </c>
      <c r="F14" s="43">
        <v>4</v>
      </c>
      <c r="G14" s="44">
        <v>5</v>
      </c>
      <c r="H14" s="44">
        <v>6</v>
      </c>
      <c r="I14" s="44">
        <v>7</v>
      </c>
      <c r="J14" s="44">
        <v>8</v>
      </c>
      <c r="K14" s="44">
        <v>9</v>
      </c>
      <c r="L14" s="44">
        <v>10</v>
      </c>
      <c r="M14" s="44">
        <v>11</v>
      </c>
      <c r="N14" s="44">
        <v>12</v>
      </c>
      <c r="O14" s="44">
        <v>13</v>
      </c>
      <c r="P14" s="44">
        <v>14</v>
      </c>
      <c r="Q14" s="44">
        <v>15</v>
      </c>
      <c r="R14" s="46"/>
    </row>
    <row r="15" spans="1:24" x14ac:dyDescent="0.35">
      <c r="B15" s="7" t="s">
        <v>12</v>
      </c>
      <c r="C15" s="43">
        <v>-3</v>
      </c>
      <c r="D15" s="44">
        <v>-2</v>
      </c>
      <c r="E15" s="45">
        <v>-1</v>
      </c>
      <c r="F15" s="43">
        <v>1</v>
      </c>
      <c r="G15" s="44">
        <v>2</v>
      </c>
      <c r="H15" s="44">
        <v>3</v>
      </c>
      <c r="I15" s="44">
        <v>4</v>
      </c>
      <c r="J15" s="44">
        <v>5</v>
      </c>
      <c r="K15" s="44">
        <v>6</v>
      </c>
      <c r="L15" s="44">
        <v>7</v>
      </c>
      <c r="M15" s="44">
        <v>8</v>
      </c>
      <c r="N15" s="44">
        <v>9</v>
      </c>
      <c r="O15" s="44">
        <v>10</v>
      </c>
      <c r="P15" s="44">
        <v>11</v>
      </c>
      <c r="Q15" s="44">
        <v>12</v>
      </c>
      <c r="R15" s="46"/>
    </row>
    <row r="16" spans="1:24" x14ac:dyDescent="0.35">
      <c r="A16" s="1" t="s">
        <v>35</v>
      </c>
      <c r="B16" s="2"/>
      <c r="C16" s="10"/>
      <c r="E16" s="11"/>
      <c r="F16" s="10"/>
      <c r="Q16" s="11"/>
      <c r="R16" s="20"/>
    </row>
    <row r="17" spans="1:18" x14ac:dyDescent="0.35">
      <c r="A17" t="s">
        <v>34</v>
      </c>
      <c r="B17" t="s">
        <v>10</v>
      </c>
      <c r="C17" s="12">
        <f>ROUND(C18*$C$2,1)</f>
        <v>9990</v>
      </c>
      <c r="D17" s="3">
        <f>ROUND(D18*$C$2,1)</f>
        <v>13110</v>
      </c>
      <c r="E17" s="13">
        <f>ROUND(E18*$C$2,1)</f>
        <v>6900</v>
      </c>
      <c r="F17" s="12">
        <f>ROUND(F18*$C$2,1)</f>
        <v>7590</v>
      </c>
      <c r="G17" s="3">
        <f>ROUND(G18*$C$2,1)</f>
        <v>8400</v>
      </c>
      <c r="H17" s="3">
        <f t="shared" ref="H17:P17" si="0">ROUND(H18*$C$2,1)</f>
        <v>10200</v>
      </c>
      <c r="I17" s="3">
        <f t="shared" si="0"/>
        <v>9000</v>
      </c>
      <c r="J17" s="3">
        <f t="shared" si="0"/>
        <v>11790</v>
      </c>
      <c r="K17" s="3">
        <f t="shared" si="0"/>
        <v>6990</v>
      </c>
      <c r="L17" s="3">
        <f t="shared" si="0"/>
        <v>8610</v>
      </c>
      <c r="M17" s="3">
        <f t="shared" si="0"/>
        <v>12600</v>
      </c>
      <c r="N17" s="3">
        <f t="shared" si="0"/>
        <v>14400</v>
      </c>
      <c r="O17" s="3">
        <f t="shared" si="0"/>
        <v>12810</v>
      </c>
      <c r="P17" s="3">
        <f t="shared" si="0"/>
        <v>15810</v>
      </c>
      <c r="Q17" s="13">
        <f>ROUND(Q18*$C$2,1)</f>
        <v>11790</v>
      </c>
      <c r="R17" s="34">
        <f>ROUND(R18*$C$2,1)</f>
        <v>8010</v>
      </c>
    </row>
    <row r="18" spans="1:18" x14ac:dyDescent="0.35">
      <c r="B18" t="s">
        <v>66</v>
      </c>
      <c r="C18" s="10">
        <v>333</v>
      </c>
      <c r="D18">
        <v>437</v>
      </c>
      <c r="E18" s="11">
        <v>230</v>
      </c>
      <c r="F18" s="10">
        <v>253</v>
      </c>
      <c r="G18">
        <v>280</v>
      </c>
      <c r="H18">
        <v>340</v>
      </c>
      <c r="I18">
        <v>300</v>
      </c>
      <c r="J18">
        <v>393</v>
      </c>
      <c r="K18">
        <v>233</v>
      </c>
      <c r="L18">
        <v>287</v>
      </c>
      <c r="M18">
        <v>420</v>
      </c>
      <c r="N18">
        <v>480</v>
      </c>
      <c r="O18">
        <v>427</v>
      </c>
      <c r="P18">
        <v>527</v>
      </c>
      <c r="Q18" s="11">
        <v>393</v>
      </c>
      <c r="R18" s="20">
        <v>267</v>
      </c>
    </row>
    <row r="19" spans="1:18" x14ac:dyDescent="0.35">
      <c r="A19" t="s">
        <v>36</v>
      </c>
      <c r="B19" t="s">
        <v>66</v>
      </c>
      <c r="C19" s="10">
        <v>300</v>
      </c>
      <c r="D19">
        <v>400</v>
      </c>
      <c r="E19" s="11">
        <v>200</v>
      </c>
      <c r="F19" s="10"/>
      <c r="Q19" s="11"/>
      <c r="R19" s="20"/>
    </row>
    <row r="20" spans="1:18" x14ac:dyDescent="0.35">
      <c r="A20" t="s">
        <v>37</v>
      </c>
      <c r="B20" t="s">
        <v>66</v>
      </c>
      <c r="C20" s="10">
        <f>C19-C18</f>
        <v>-33</v>
      </c>
      <c r="D20">
        <f>D19-D18</f>
        <v>-37</v>
      </c>
      <c r="E20" s="11">
        <f>E19-E18</f>
        <v>-30</v>
      </c>
      <c r="F20" s="10"/>
      <c r="Q20" s="11"/>
      <c r="R20" s="20"/>
    </row>
    <row r="21" spans="1:18" x14ac:dyDescent="0.35">
      <c r="A21" t="s">
        <v>38</v>
      </c>
      <c r="B21" t="s">
        <v>66</v>
      </c>
      <c r="C21" s="10">
        <f>C20</f>
        <v>-33</v>
      </c>
      <c r="D21">
        <f>SUM($C20:D20)</f>
        <v>-70</v>
      </c>
      <c r="E21" s="11">
        <f>SUM($C20:E20)</f>
        <v>-100</v>
      </c>
      <c r="F21" s="10"/>
      <c r="Q21" s="11"/>
      <c r="R21" s="20"/>
    </row>
    <row r="22" spans="1:18" x14ac:dyDescent="0.35">
      <c r="C22" s="10"/>
      <c r="E22" s="11"/>
      <c r="F22" s="10"/>
      <c r="Q22" s="11"/>
      <c r="R22" s="20"/>
    </row>
    <row r="23" spans="1:18" x14ac:dyDescent="0.35">
      <c r="A23" s="1" t="s">
        <v>0</v>
      </c>
      <c r="C23" s="10"/>
      <c r="E23" s="11"/>
      <c r="F23" s="10"/>
      <c r="Q23" s="11"/>
      <c r="R23" s="20"/>
    </row>
    <row r="24" spans="1:18" x14ac:dyDescent="0.35">
      <c r="A24" t="s">
        <v>39</v>
      </c>
      <c r="B24" t="s">
        <v>66</v>
      </c>
      <c r="C24" s="10">
        <f t="shared" ref="C24:E24" si="1">C18</f>
        <v>333</v>
      </c>
      <c r="D24">
        <f t="shared" si="1"/>
        <v>437</v>
      </c>
      <c r="E24" s="11">
        <f t="shared" si="1"/>
        <v>230</v>
      </c>
      <c r="F24" s="35">
        <f>F18</f>
        <v>253</v>
      </c>
      <c r="G24" s="78">
        <f t="shared" ref="G24:Q24" si="2">G18</f>
        <v>280</v>
      </c>
      <c r="H24" s="78">
        <f t="shared" si="2"/>
        <v>340</v>
      </c>
      <c r="I24" s="78">
        <f t="shared" si="2"/>
        <v>300</v>
      </c>
      <c r="J24" s="78">
        <f t="shared" si="2"/>
        <v>393</v>
      </c>
      <c r="K24" s="78">
        <f t="shared" si="2"/>
        <v>233</v>
      </c>
      <c r="L24" s="78">
        <f t="shared" si="2"/>
        <v>287</v>
      </c>
      <c r="M24" s="78">
        <f t="shared" si="2"/>
        <v>420</v>
      </c>
      <c r="N24" s="78">
        <f t="shared" si="2"/>
        <v>480</v>
      </c>
      <c r="O24" s="78">
        <f t="shared" si="2"/>
        <v>427</v>
      </c>
      <c r="P24" s="78">
        <f t="shared" si="2"/>
        <v>527</v>
      </c>
      <c r="Q24" s="36">
        <f t="shared" si="2"/>
        <v>393</v>
      </c>
      <c r="R24" s="20"/>
    </row>
    <row r="25" spans="1:18" x14ac:dyDescent="0.35">
      <c r="A25" t="s">
        <v>40</v>
      </c>
      <c r="B25" t="s">
        <v>68</v>
      </c>
      <c r="C25" s="12">
        <f>C24*1000/C26/$C$3</f>
        <v>1892.0454545454545</v>
      </c>
      <c r="D25" s="3">
        <f t="shared" ref="D25:E25" si="3">D24*1000/D26/$C$3</f>
        <v>2731.25</v>
      </c>
      <c r="E25" s="13">
        <f t="shared" si="3"/>
        <v>1437.5</v>
      </c>
      <c r="F25" s="29">
        <f>F24*1000/($C$3*F26)</f>
        <v>1581.25</v>
      </c>
      <c r="G25" s="5">
        <f t="shared" ref="G25:Q25" si="4">G24*1000/($C$3*G26)</f>
        <v>1666.6666666666667</v>
      </c>
      <c r="H25" s="5">
        <f t="shared" si="4"/>
        <v>1847.8260869565217</v>
      </c>
      <c r="I25" s="5">
        <f t="shared" si="4"/>
        <v>1875</v>
      </c>
      <c r="J25" s="5">
        <f t="shared" si="4"/>
        <v>2232.9545454545455</v>
      </c>
      <c r="K25" s="5">
        <f t="shared" si="4"/>
        <v>1323.8636363636363</v>
      </c>
      <c r="L25" s="5">
        <f t="shared" si="4"/>
        <v>3587.5</v>
      </c>
      <c r="M25" s="5">
        <f t="shared" si="4"/>
        <v>2282.608695652174</v>
      </c>
      <c r="N25" s="5">
        <f t="shared" si="4"/>
        <v>3000</v>
      </c>
      <c r="O25" s="5">
        <f t="shared" si="4"/>
        <v>2426.1363636363635</v>
      </c>
      <c r="P25" s="5">
        <f t="shared" si="4"/>
        <v>3293.75</v>
      </c>
      <c r="Q25" s="79">
        <f t="shared" si="4"/>
        <v>2456.25</v>
      </c>
      <c r="R25" s="20"/>
    </row>
    <row r="26" spans="1:18" x14ac:dyDescent="0.35">
      <c r="A26" t="s">
        <v>41</v>
      </c>
      <c r="B26" t="s">
        <v>67</v>
      </c>
      <c r="C26" s="10">
        <v>22</v>
      </c>
      <c r="D26">
        <v>20</v>
      </c>
      <c r="E26" s="11">
        <v>20</v>
      </c>
      <c r="F26" s="10">
        <v>20</v>
      </c>
      <c r="G26">
        <v>21</v>
      </c>
      <c r="H26">
        <v>23</v>
      </c>
      <c r="I26">
        <v>20</v>
      </c>
      <c r="J26">
        <v>22</v>
      </c>
      <c r="K26">
        <v>22</v>
      </c>
      <c r="L26">
        <v>10</v>
      </c>
      <c r="M26">
        <v>23</v>
      </c>
      <c r="N26">
        <v>20</v>
      </c>
      <c r="O26">
        <v>22</v>
      </c>
      <c r="P26">
        <v>20</v>
      </c>
      <c r="Q26" s="11">
        <v>20</v>
      </c>
      <c r="R26" s="20">
        <v>20</v>
      </c>
    </row>
    <row r="27" spans="1:18" x14ac:dyDescent="0.35">
      <c r="A27" t="s">
        <v>42</v>
      </c>
      <c r="B27" t="s">
        <v>66</v>
      </c>
      <c r="C27" s="10">
        <v>360</v>
      </c>
      <c r="D27">
        <v>455</v>
      </c>
      <c r="E27" s="11">
        <v>300</v>
      </c>
      <c r="F27" s="10"/>
      <c r="Q27" s="11"/>
      <c r="R27" s="20"/>
    </row>
    <row r="28" spans="1:18" x14ac:dyDescent="0.35">
      <c r="A28" t="s">
        <v>37</v>
      </c>
      <c r="B28" t="s">
        <v>66</v>
      </c>
      <c r="C28" s="10">
        <f>C27-C24</f>
        <v>27</v>
      </c>
      <c r="D28">
        <f t="shared" ref="D28:E28" si="5">D27-D24</f>
        <v>18</v>
      </c>
      <c r="E28" s="11">
        <f t="shared" si="5"/>
        <v>70</v>
      </c>
      <c r="F28" s="10"/>
      <c r="Q28" s="11"/>
      <c r="R28" s="20"/>
    </row>
    <row r="29" spans="1:18" x14ac:dyDescent="0.35">
      <c r="A29" t="s">
        <v>38</v>
      </c>
      <c r="B29" t="s">
        <v>66</v>
      </c>
      <c r="C29" s="10">
        <f>C28</f>
        <v>27</v>
      </c>
      <c r="D29">
        <f>SUM($C28:D28)</f>
        <v>45</v>
      </c>
      <c r="E29" s="11">
        <f>SUM($C28:E28)</f>
        <v>115</v>
      </c>
      <c r="F29" s="10"/>
      <c r="Q29" s="11"/>
      <c r="R29" s="20"/>
    </row>
    <row r="30" spans="1:18" x14ac:dyDescent="0.35">
      <c r="C30" s="10"/>
      <c r="E30" s="11"/>
      <c r="F30" s="10"/>
      <c r="Q30" s="11"/>
      <c r="R30" s="20"/>
    </row>
    <row r="31" spans="1:18" x14ac:dyDescent="0.35">
      <c r="A31" s="1" t="s">
        <v>45</v>
      </c>
      <c r="C31" s="10"/>
      <c r="E31" s="11"/>
      <c r="F31" s="10"/>
      <c r="Q31" s="11"/>
      <c r="R31" s="20"/>
    </row>
    <row r="32" spans="1:18" x14ac:dyDescent="0.35">
      <c r="A32" t="s">
        <v>43</v>
      </c>
      <c r="B32" t="s">
        <v>66</v>
      </c>
      <c r="C32" s="35">
        <f>C4+C24-C18</f>
        <v>0</v>
      </c>
      <c r="D32">
        <f>C32+D24-D18</f>
        <v>0</v>
      </c>
      <c r="E32" s="36">
        <f>D32+E24-E18</f>
        <v>0</v>
      </c>
      <c r="F32" s="35">
        <f>E34+F24-F18</f>
        <v>215</v>
      </c>
      <c r="G32" s="78">
        <f>F32+G24-G18</f>
        <v>215</v>
      </c>
      <c r="H32" s="78">
        <f t="shared" ref="H32:Q32" si="6">G32+H24-H18</f>
        <v>215</v>
      </c>
      <c r="I32" s="78">
        <f t="shared" si="6"/>
        <v>215</v>
      </c>
      <c r="J32" s="78">
        <f t="shared" si="6"/>
        <v>215</v>
      </c>
      <c r="K32" s="78">
        <f t="shared" si="6"/>
        <v>215</v>
      </c>
      <c r="L32" s="78">
        <f t="shared" si="6"/>
        <v>215</v>
      </c>
      <c r="M32" s="78">
        <f t="shared" si="6"/>
        <v>215</v>
      </c>
      <c r="N32" s="78">
        <f t="shared" si="6"/>
        <v>215</v>
      </c>
      <c r="O32" s="78">
        <f t="shared" si="6"/>
        <v>215</v>
      </c>
      <c r="P32" s="78">
        <f t="shared" si="6"/>
        <v>215</v>
      </c>
      <c r="Q32" s="78">
        <f t="shared" si="6"/>
        <v>215</v>
      </c>
      <c r="R32" s="20"/>
    </row>
    <row r="33" spans="1:18" x14ac:dyDescent="0.35">
      <c r="B33" t="s">
        <v>7</v>
      </c>
      <c r="C33" s="12">
        <f>C32*$C$2</f>
        <v>0</v>
      </c>
      <c r="D33" s="3">
        <f t="shared" ref="D33:E33" si="7">D32*$C$2</f>
        <v>0</v>
      </c>
      <c r="E33" s="13">
        <f t="shared" si="7"/>
        <v>0</v>
      </c>
      <c r="F33" s="12">
        <f>F32*$C$2</f>
        <v>6450</v>
      </c>
      <c r="G33" s="3">
        <f>G32*$C$2</f>
        <v>6450</v>
      </c>
      <c r="H33" s="3">
        <f t="shared" ref="H33:Q33" si="8">H32*$C$2</f>
        <v>6450</v>
      </c>
      <c r="I33" s="3">
        <f t="shared" si="8"/>
        <v>6450</v>
      </c>
      <c r="J33" s="3">
        <f t="shared" si="8"/>
        <v>6450</v>
      </c>
      <c r="K33" s="3">
        <f t="shared" si="8"/>
        <v>6450</v>
      </c>
      <c r="L33" s="3">
        <f t="shared" si="8"/>
        <v>6450</v>
      </c>
      <c r="M33" s="3">
        <f t="shared" si="8"/>
        <v>6450</v>
      </c>
      <c r="N33" s="3">
        <f t="shared" si="8"/>
        <v>6450</v>
      </c>
      <c r="O33" s="3">
        <f t="shared" si="8"/>
        <v>6450</v>
      </c>
      <c r="P33" s="3">
        <f t="shared" si="8"/>
        <v>6450</v>
      </c>
      <c r="Q33" s="3">
        <f t="shared" si="8"/>
        <v>6450</v>
      </c>
      <c r="R33" s="34"/>
    </row>
    <row r="34" spans="1:18" x14ac:dyDescent="0.35">
      <c r="A34" t="s">
        <v>44</v>
      </c>
      <c r="B34" t="s">
        <v>66</v>
      </c>
      <c r="C34" s="35">
        <f>C4+C27-C19</f>
        <v>60</v>
      </c>
      <c r="D34">
        <f>C34+D27-D19</f>
        <v>115</v>
      </c>
      <c r="E34" s="36">
        <f>D34+E27-E19</f>
        <v>215</v>
      </c>
      <c r="F34" s="10"/>
      <c r="Q34" s="11"/>
      <c r="R34" s="20"/>
    </row>
    <row r="35" spans="1:18" ht="15" thickBot="1" x14ac:dyDescent="0.4">
      <c r="A35" t="s">
        <v>46</v>
      </c>
      <c r="B35" t="s">
        <v>69</v>
      </c>
      <c r="C35" s="14">
        <f>C34/(D19/D26)</f>
        <v>3</v>
      </c>
      <c r="D35" s="15">
        <f>D34/(E19/E26)</f>
        <v>11.5</v>
      </c>
      <c r="E35" s="17">
        <f>E34/(F18/F26)</f>
        <v>16.996047430830039</v>
      </c>
      <c r="F35" s="18">
        <f>F32/(G18/G26)</f>
        <v>16.125</v>
      </c>
      <c r="G35" s="54">
        <f t="shared" ref="G35:Q35" si="9">G32/(H18/H26)</f>
        <v>14.544117647058824</v>
      </c>
      <c r="H35" s="54">
        <f t="shared" si="9"/>
        <v>14.333333333333334</v>
      </c>
      <c r="I35" s="54">
        <f t="shared" si="9"/>
        <v>12.035623409669212</v>
      </c>
      <c r="J35" s="54">
        <f t="shared" si="9"/>
        <v>20.300429184549355</v>
      </c>
      <c r="K35" s="54">
        <f t="shared" si="9"/>
        <v>7.491289198606272</v>
      </c>
      <c r="L35" s="54">
        <f t="shared" si="9"/>
        <v>11.773809523809524</v>
      </c>
      <c r="M35" s="54">
        <f t="shared" si="9"/>
        <v>8.9583333333333339</v>
      </c>
      <c r="N35" s="54">
        <f t="shared" si="9"/>
        <v>11.07728337236534</v>
      </c>
      <c r="O35" s="54">
        <f t="shared" si="9"/>
        <v>8.159392789373813</v>
      </c>
      <c r="P35" s="54">
        <f t="shared" si="9"/>
        <v>10.941475826972011</v>
      </c>
      <c r="Q35" s="17">
        <f t="shared" si="9"/>
        <v>16.104868913857679</v>
      </c>
      <c r="R35" s="21"/>
    </row>
    <row r="36" spans="1:18" ht="15" thickBot="1" x14ac:dyDescent="0.4">
      <c r="A36" t="s">
        <v>47</v>
      </c>
      <c r="C36" s="50">
        <v>98</v>
      </c>
      <c r="D36" s="51">
        <v>100</v>
      </c>
      <c r="E36" s="52">
        <v>100</v>
      </c>
    </row>
    <row r="39" spans="1:18" ht="15" thickBot="1" x14ac:dyDescent="0.4"/>
    <row r="40" spans="1:18" x14ac:dyDescent="0.35">
      <c r="E40" s="19" t="s">
        <v>49</v>
      </c>
      <c r="F40" s="47">
        <f>MAX(F25-$C$8,0)</f>
        <v>144.25</v>
      </c>
      <c r="G40" s="27">
        <f>MAX(G25-F42,0)</f>
        <v>85.416666666666742</v>
      </c>
      <c r="H40" s="27">
        <f t="shared" ref="H40:Q40" si="10">MAX(H25-G42,0)</f>
        <v>181.15942028985501</v>
      </c>
      <c r="I40" s="27">
        <f t="shared" si="10"/>
        <v>27.173913043478251</v>
      </c>
      <c r="J40" s="27">
        <f t="shared" si="10"/>
        <v>357.9545454545455</v>
      </c>
      <c r="K40" s="27">
        <f t="shared" si="10"/>
        <v>0</v>
      </c>
      <c r="L40" s="27">
        <f t="shared" si="10"/>
        <v>2263.636363636364</v>
      </c>
      <c r="M40" s="27">
        <f t="shared" si="10"/>
        <v>0</v>
      </c>
      <c r="N40" s="27">
        <f t="shared" si="10"/>
        <v>717.39130434782601</v>
      </c>
      <c r="O40" s="27">
        <f t="shared" si="10"/>
        <v>0</v>
      </c>
      <c r="P40" s="27">
        <f t="shared" si="10"/>
        <v>867.61363636363649</v>
      </c>
      <c r="Q40" s="28">
        <f t="shared" si="10"/>
        <v>0</v>
      </c>
    </row>
    <row r="41" spans="1:18" x14ac:dyDescent="0.35">
      <c r="E41" s="20" t="s">
        <v>50</v>
      </c>
      <c r="F41" s="12">
        <f>MAX($C$8-F25,0)</f>
        <v>0</v>
      </c>
      <c r="G41" s="30">
        <f>MAX(F42-G25,0)</f>
        <v>0</v>
      </c>
      <c r="H41" s="30">
        <f t="shared" ref="H41:Q41" si="11">MAX(G42-H25,0)</f>
        <v>0</v>
      </c>
      <c r="I41" s="30">
        <f t="shared" si="11"/>
        <v>0</v>
      </c>
      <c r="J41" s="30">
        <f t="shared" si="11"/>
        <v>0</v>
      </c>
      <c r="K41" s="30">
        <f t="shared" si="11"/>
        <v>909.09090909090924</v>
      </c>
      <c r="L41" s="30">
        <f t="shared" si="11"/>
        <v>0</v>
      </c>
      <c r="M41" s="30">
        <f t="shared" si="11"/>
        <v>1304.891304347826</v>
      </c>
      <c r="N41" s="30">
        <f t="shared" si="11"/>
        <v>0</v>
      </c>
      <c r="O41" s="30">
        <f t="shared" si="11"/>
        <v>573.86363636363649</v>
      </c>
      <c r="P41" s="30">
        <f t="shared" si="11"/>
        <v>0</v>
      </c>
      <c r="Q41" s="31">
        <f t="shared" si="11"/>
        <v>837.5</v>
      </c>
    </row>
    <row r="42" spans="1:18" ht="15" thickBot="1" x14ac:dyDescent="0.4">
      <c r="E42" s="21" t="s">
        <v>48</v>
      </c>
      <c r="F42" s="48">
        <f>$C$8+F40-F41</f>
        <v>1581.25</v>
      </c>
      <c r="G42" s="32">
        <f>F42+G40-G41</f>
        <v>1666.6666666666667</v>
      </c>
      <c r="H42" s="32">
        <f t="shared" ref="H42:Q42" si="12">G42+H40-H41</f>
        <v>1847.8260869565217</v>
      </c>
      <c r="I42" s="32">
        <f t="shared" si="12"/>
        <v>1875</v>
      </c>
      <c r="J42" s="32">
        <f t="shared" si="12"/>
        <v>2232.9545454545455</v>
      </c>
      <c r="K42" s="32">
        <f t="shared" si="12"/>
        <v>1323.8636363636363</v>
      </c>
      <c r="L42" s="32">
        <f t="shared" si="12"/>
        <v>3587.5</v>
      </c>
      <c r="M42" s="32">
        <f t="shared" si="12"/>
        <v>2282.608695652174</v>
      </c>
      <c r="N42" s="32">
        <f t="shared" si="12"/>
        <v>3000</v>
      </c>
      <c r="O42" s="32">
        <f t="shared" si="12"/>
        <v>2426.1363636363635</v>
      </c>
      <c r="P42" s="32">
        <f t="shared" si="12"/>
        <v>3293.75</v>
      </c>
      <c r="Q42" s="33">
        <f t="shared" si="12"/>
        <v>2456.25</v>
      </c>
    </row>
    <row r="44" spans="1:18" ht="15" thickBot="1" x14ac:dyDescent="0.4">
      <c r="E44" t="s">
        <v>59</v>
      </c>
      <c r="R44" s="8" t="s">
        <v>60</v>
      </c>
    </row>
    <row r="45" spans="1:18" x14ac:dyDescent="0.35">
      <c r="E45" s="19" t="s">
        <v>49</v>
      </c>
      <c r="F45" s="27">
        <f t="shared" ref="F45:Q45" si="13">F40*$C$6</f>
        <v>28.85</v>
      </c>
      <c r="G45" s="27">
        <f t="shared" si="13"/>
        <v>17.08333333333335</v>
      </c>
      <c r="H45" s="27">
        <f t="shared" si="13"/>
        <v>36.231884057971001</v>
      </c>
      <c r="I45" s="27">
        <f t="shared" si="13"/>
        <v>5.4347826086956506</v>
      </c>
      <c r="J45" s="27">
        <f t="shared" si="13"/>
        <v>71.590909090909108</v>
      </c>
      <c r="K45" s="27">
        <f t="shared" si="13"/>
        <v>0</v>
      </c>
      <c r="L45" s="27">
        <f t="shared" si="13"/>
        <v>452.7272727272728</v>
      </c>
      <c r="M45" s="27">
        <f t="shared" si="13"/>
        <v>0</v>
      </c>
      <c r="N45" s="27">
        <f t="shared" si="13"/>
        <v>143.47826086956522</v>
      </c>
      <c r="O45" s="27">
        <f t="shared" si="13"/>
        <v>0</v>
      </c>
      <c r="P45" s="27">
        <f t="shared" si="13"/>
        <v>173.52272727272731</v>
      </c>
      <c r="Q45" s="28">
        <f t="shared" si="13"/>
        <v>0</v>
      </c>
      <c r="R45" s="37">
        <f>SUM(F45:Q45)</f>
        <v>928.91916996047439</v>
      </c>
    </row>
    <row r="46" spans="1:18" x14ac:dyDescent="0.35">
      <c r="E46" s="20" t="s">
        <v>50</v>
      </c>
      <c r="F46" s="30">
        <f>F41*$C$7</f>
        <v>0</v>
      </c>
      <c r="G46" s="30">
        <f t="shared" ref="G46:Q46" si="14">G41*$C$7</f>
        <v>0</v>
      </c>
      <c r="H46" s="30">
        <f t="shared" si="14"/>
        <v>0</v>
      </c>
      <c r="I46" s="30">
        <f t="shared" si="14"/>
        <v>0</v>
      </c>
      <c r="J46" s="30">
        <f t="shared" si="14"/>
        <v>0</v>
      </c>
      <c r="K46" s="30">
        <f t="shared" si="14"/>
        <v>454.54545454545462</v>
      </c>
      <c r="L46" s="30">
        <f t="shared" si="14"/>
        <v>0</v>
      </c>
      <c r="M46" s="30">
        <f t="shared" si="14"/>
        <v>652.445652173913</v>
      </c>
      <c r="N46" s="30">
        <f t="shared" si="14"/>
        <v>0</v>
      </c>
      <c r="O46" s="30">
        <f t="shared" si="14"/>
        <v>286.93181818181824</v>
      </c>
      <c r="P46" s="30">
        <f t="shared" si="14"/>
        <v>0</v>
      </c>
      <c r="Q46" s="31">
        <f t="shared" si="14"/>
        <v>418.75</v>
      </c>
      <c r="R46" s="38">
        <f t="shared" ref="R46:R47" si="15">SUM(F46:Q46)</f>
        <v>1812.6729249011858</v>
      </c>
    </row>
    <row r="47" spans="1:18" ht="15" thickBot="1" x14ac:dyDescent="0.4">
      <c r="E47" s="21" t="s">
        <v>8</v>
      </c>
      <c r="F47" s="32">
        <f>F32*$C$2*$C$5</f>
        <v>129</v>
      </c>
      <c r="G47" s="32">
        <f>G32*$C$2*$C$5</f>
        <v>129</v>
      </c>
      <c r="H47" s="32">
        <f t="shared" ref="H47:P47" si="16">H32*$C$2*$C$5</f>
        <v>129</v>
      </c>
      <c r="I47" s="32">
        <f t="shared" si="16"/>
        <v>129</v>
      </c>
      <c r="J47" s="32">
        <f t="shared" si="16"/>
        <v>129</v>
      </c>
      <c r="K47" s="32">
        <f t="shared" si="16"/>
        <v>129</v>
      </c>
      <c r="L47" s="32">
        <f t="shared" si="16"/>
        <v>129</v>
      </c>
      <c r="M47" s="32">
        <f t="shared" si="16"/>
        <v>129</v>
      </c>
      <c r="N47" s="32">
        <f t="shared" si="16"/>
        <v>129</v>
      </c>
      <c r="O47" s="32">
        <f t="shared" si="16"/>
        <v>129</v>
      </c>
      <c r="P47" s="32">
        <f t="shared" si="16"/>
        <v>129</v>
      </c>
      <c r="Q47" s="33">
        <f>Q32*$C$2*$C$5</f>
        <v>129</v>
      </c>
      <c r="R47" s="39">
        <f t="shared" si="15"/>
        <v>1548</v>
      </c>
    </row>
    <row r="48" spans="1:18" x14ac:dyDescent="0.35">
      <c r="Q48" s="9" t="s">
        <v>61</v>
      </c>
      <c r="R48" s="40">
        <f>SUM(R45:R47)</f>
        <v>4289.5920948616604</v>
      </c>
    </row>
    <row r="49" spans="1:18" ht="15" thickBot="1" x14ac:dyDescent="0.4">
      <c r="Q49" s="9"/>
      <c r="R49" s="40"/>
    </row>
    <row r="50" spans="1:18" x14ac:dyDescent="0.35">
      <c r="A50" s="67" t="s">
        <v>63</v>
      </c>
      <c r="B50" s="68"/>
      <c r="C50" s="67"/>
      <c r="D50" s="69"/>
      <c r="E50" s="68">
        <v>0</v>
      </c>
      <c r="F50" s="47">
        <f>F24+F32</f>
        <v>468</v>
      </c>
      <c r="G50" s="27">
        <f t="shared" ref="G50:Q50" si="17">G24+G32</f>
        <v>495</v>
      </c>
      <c r="H50" s="27">
        <f t="shared" si="17"/>
        <v>555</v>
      </c>
      <c r="I50" s="27">
        <f t="shared" si="17"/>
        <v>515</v>
      </c>
      <c r="J50" s="27">
        <f t="shared" si="17"/>
        <v>608</v>
      </c>
      <c r="K50" s="27">
        <f t="shared" si="17"/>
        <v>448</v>
      </c>
      <c r="L50" s="27">
        <f t="shared" si="17"/>
        <v>502</v>
      </c>
      <c r="M50" s="27">
        <f t="shared" si="17"/>
        <v>635</v>
      </c>
      <c r="N50" s="27">
        <f t="shared" si="17"/>
        <v>695</v>
      </c>
      <c r="O50" s="27">
        <f t="shared" si="17"/>
        <v>642</v>
      </c>
      <c r="P50" s="27">
        <f t="shared" si="17"/>
        <v>742</v>
      </c>
      <c r="Q50" s="28">
        <f t="shared" si="17"/>
        <v>608</v>
      </c>
      <c r="R50" s="40"/>
    </row>
    <row r="51" spans="1:18" x14ac:dyDescent="0.35">
      <c r="A51" s="10" t="s">
        <v>64</v>
      </c>
      <c r="B51" s="11" t="s">
        <v>66</v>
      </c>
      <c r="C51" s="10"/>
      <c r="E51" s="11"/>
      <c r="F51" s="70">
        <f>SUM($F18:F18)</f>
        <v>253</v>
      </c>
      <c r="G51" s="30">
        <f>SUM($F18:G18)</f>
        <v>533</v>
      </c>
      <c r="H51" s="30">
        <f>SUM($F18:H18)</f>
        <v>873</v>
      </c>
      <c r="I51" s="30">
        <f>SUM($F18:I18)</f>
        <v>1173</v>
      </c>
      <c r="J51" s="30">
        <f>SUM($F18:J18)</f>
        <v>1566</v>
      </c>
      <c r="K51" s="30">
        <f>SUM($F18:K18)</f>
        <v>1799</v>
      </c>
      <c r="L51" s="30">
        <f>SUM($F18:L18)</f>
        <v>2086</v>
      </c>
      <c r="M51" s="30">
        <f>SUM($F18:M18)</f>
        <v>2506</v>
      </c>
      <c r="N51" s="30">
        <f>SUM($F18:N18)</f>
        <v>2986</v>
      </c>
      <c r="O51" s="30">
        <f>SUM($F18:O18)</f>
        <v>3413</v>
      </c>
      <c r="P51" s="30">
        <f>SUM($F18:P18)</f>
        <v>3940</v>
      </c>
      <c r="Q51" s="31">
        <f>SUM($F18:Q18)</f>
        <v>4333</v>
      </c>
      <c r="R51" s="40"/>
    </row>
    <row r="52" spans="1:18" ht="15" thickBot="1" x14ac:dyDescent="0.4">
      <c r="A52" s="71" t="s">
        <v>65</v>
      </c>
      <c r="B52" s="72" t="s">
        <v>66</v>
      </c>
      <c r="C52" s="73"/>
      <c r="D52" s="74"/>
      <c r="E52" s="72">
        <f>$E34</f>
        <v>215</v>
      </c>
      <c r="F52" s="48">
        <f>SUM($F24:F24)+$E34</f>
        <v>468</v>
      </c>
      <c r="G52" s="32">
        <f>SUM($F24:G24)+$E34</f>
        <v>748</v>
      </c>
      <c r="H52" s="32">
        <f>SUM($F24:H24)+$E34</f>
        <v>1088</v>
      </c>
      <c r="I52" s="32">
        <f>SUM($F24:I24)+$E34</f>
        <v>1388</v>
      </c>
      <c r="J52" s="32">
        <f>SUM($F24:J24)+$E34</f>
        <v>1781</v>
      </c>
      <c r="K52" s="32">
        <f>SUM($F24:K24)+$E34</f>
        <v>2014</v>
      </c>
      <c r="L52" s="32">
        <f>SUM($F24:L24)+$E34</f>
        <v>2301</v>
      </c>
      <c r="M52" s="32">
        <f>SUM($F24:M24)+$E34</f>
        <v>2721</v>
      </c>
      <c r="N52" s="32">
        <f>SUM($F24:N24)+$E34</f>
        <v>3201</v>
      </c>
      <c r="O52" s="32">
        <f>SUM($F24:O24)+$E34</f>
        <v>3628</v>
      </c>
      <c r="P52" s="32">
        <f>SUM($F24:P24)+$E34</f>
        <v>4155</v>
      </c>
      <c r="Q52" s="33">
        <f>SUM($F24:Q24)+$E34</f>
        <v>4548</v>
      </c>
      <c r="R52" s="40"/>
    </row>
    <row r="53" spans="1:18" x14ac:dyDescent="0.35">
      <c r="A53" s="5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40"/>
    </row>
    <row r="54" spans="1:18" x14ac:dyDescent="0.35">
      <c r="A54" s="5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40"/>
    </row>
    <row r="55" spans="1:18" x14ac:dyDescent="0.35"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40"/>
    </row>
    <row r="56" spans="1:18" ht="21" x14ac:dyDescent="0.5">
      <c r="A56" s="84" t="s">
        <v>22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</row>
    <row r="57" spans="1:18" ht="15.75" customHeight="1" x14ac:dyDescent="0.5">
      <c r="A57" t="s">
        <v>70</v>
      </c>
      <c r="B57" s="76">
        <v>5</v>
      </c>
      <c r="C57" t="s">
        <v>13</v>
      </c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</row>
    <row r="58" spans="1:18" ht="15" thickBot="1" x14ac:dyDescent="0.4"/>
    <row r="59" spans="1:18" x14ac:dyDescent="0.35">
      <c r="C59" s="81" t="s">
        <v>51</v>
      </c>
      <c r="D59" s="82"/>
      <c r="E59" s="83"/>
      <c r="F59" s="81" t="s">
        <v>43</v>
      </c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3"/>
      <c r="R59" s="22" t="s">
        <v>9</v>
      </c>
    </row>
    <row r="60" spans="1:18" x14ac:dyDescent="0.35">
      <c r="C60" s="24" t="s">
        <v>1</v>
      </c>
      <c r="D60" s="23" t="s">
        <v>2</v>
      </c>
      <c r="E60" s="25" t="s">
        <v>3</v>
      </c>
      <c r="F60" s="24" t="s">
        <v>4</v>
      </c>
      <c r="G60" s="23" t="s">
        <v>52</v>
      </c>
      <c r="H60" s="23" t="s">
        <v>53</v>
      </c>
      <c r="I60" s="23" t="s">
        <v>54</v>
      </c>
      <c r="J60" s="23" t="s">
        <v>55</v>
      </c>
      <c r="K60" s="23" t="s">
        <v>5</v>
      </c>
      <c r="L60" s="23" t="s">
        <v>56</v>
      </c>
      <c r="M60" s="23" t="s">
        <v>57</v>
      </c>
      <c r="N60" s="23" t="s">
        <v>58</v>
      </c>
      <c r="O60" s="23" t="s">
        <v>1</v>
      </c>
      <c r="P60" s="23" t="s">
        <v>6</v>
      </c>
      <c r="Q60" s="25" t="s">
        <v>3</v>
      </c>
      <c r="R60" s="26" t="s">
        <v>4</v>
      </c>
    </row>
    <row r="61" spans="1:18" x14ac:dyDescent="0.35">
      <c r="B61" s="7" t="s">
        <v>11</v>
      </c>
      <c r="C61" s="43">
        <v>1</v>
      </c>
      <c r="D61" s="44">
        <v>2</v>
      </c>
      <c r="E61" s="45">
        <v>3</v>
      </c>
      <c r="F61" s="43">
        <v>4</v>
      </c>
      <c r="G61" s="44">
        <v>5</v>
      </c>
      <c r="H61" s="44">
        <v>6</v>
      </c>
      <c r="I61" s="44">
        <v>7</v>
      </c>
      <c r="J61" s="44">
        <v>8</v>
      </c>
      <c r="K61" s="44">
        <v>9</v>
      </c>
      <c r="L61" s="44">
        <v>10</v>
      </c>
      <c r="M61" s="44">
        <v>11</v>
      </c>
      <c r="N61" s="44">
        <v>12</v>
      </c>
      <c r="O61" s="44">
        <v>13</v>
      </c>
      <c r="P61" s="44">
        <v>14</v>
      </c>
      <c r="Q61" s="44">
        <v>15</v>
      </c>
      <c r="R61" s="46"/>
    </row>
    <row r="62" spans="1:18" x14ac:dyDescent="0.35">
      <c r="B62" s="7" t="s">
        <v>12</v>
      </c>
      <c r="C62" s="43">
        <v>-3</v>
      </c>
      <c r="D62" s="44">
        <v>-2</v>
      </c>
      <c r="E62" s="45">
        <v>-1</v>
      </c>
      <c r="F62" s="43">
        <v>1</v>
      </c>
      <c r="G62" s="44">
        <v>2</v>
      </c>
      <c r="H62" s="44">
        <v>3</v>
      </c>
      <c r="I62" s="44">
        <v>4</v>
      </c>
      <c r="J62" s="44">
        <v>5</v>
      </c>
      <c r="K62" s="44">
        <v>6</v>
      </c>
      <c r="L62" s="44">
        <v>7</v>
      </c>
      <c r="M62" s="44">
        <v>8</v>
      </c>
      <c r="N62" s="44">
        <v>9</v>
      </c>
      <c r="O62" s="44">
        <v>10</v>
      </c>
      <c r="P62" s="44">
        <v>11</v>
      </c>
      <c r="Q62" s="44">
        <v>12</v>
      </c>
      <c r="R62" s="46"/>
    </row>
    <row r="63" spans="1:18" x14ac:dyDescent="0.35">
      <c r="A63" s="1" t="s">
        <v>35</v>
      </c>
      <c r="B63" s="2"/>
      <c r="C63" s="10"/>
      <c r="E63" s="11"/>
      <c r="F63" s="10"/>
      <c r="Q63" s="11"/>
      <c r="R63" s="20"/>
    </row>
    <row r="64" spans="1:18" x14ac:dyDescent="0.35">
      <c r="A64" t="s">
        <v>34</v>
      </c>
      <c r="B64" t="s">
        <v>10</v>
      </c>
      <c r="C64" s="12">
        <f>ROUND(C65*$C$2,1)</f>
        <v>9990</v>
      </c>
      <c r="D64" s="3">
        <f>ROUND(D65*$C$2,1)</f>
        <v>13110</v>
      </c>
      <c r="E64" s="13">
        <f>ROUND(E65*$C$2,1)</f>
        <v>6900</v>
      </c>
      <c r="F64" s="12">
        <f>ROUND(F65*$C$2,1)</f>
        <v>7590</v>
      </c>
      <c r="G64" s="3">
        <f>ROUND(G65*$C$2,1)</f>
        <v>8400</v>
      </c>
      <c r="H64" s="3">
        <f t="shared" ref="H64" si="18">ROUND(H65*$C$2,1)</f>
        <v>10200</v>
      </c>
      <c r="I64" s="3">
        <f t="shared" ref="I64" si="19">ROUND(I65*$C$2,1)</f>
        <v>9000</v>
      </c>
      <c r="J64" s="3">
        <f t="shared" ref="J64" si="20">ROUND(J65*$C$2,1)</f>
        <v>11790</v>
      </c>
      <c r="K64" s="3">
        <f t="shared" ref="K64" si="21">ROUND(K65*$C$2,1)</f>
        <v>6990</v>
      </c>
      <c r="L64" s="3">
        <f t="shared" ref="L64" si="22">ROUND(L65*$C$2,1)</f>
        <v>8610</v>
      </c>
      <c r="M64" s="3">
        <f t="shared" ref="M64" si="23">ROUND(M65*$C$2,1)</f>
        <v>12600</v>
      </c>
      <c r="N64" s="3">
        <f t="shared" ref="N64" si="24">ROUND(N65*$C$2,1)</f>
        <v>14400</v>
      </c>
      <c r="O64" s="3">
        <f t="shared" ref="O64" si="25">ROUND(O65*$C$2,1)</f>
        <v>12810</v>
      </c>
      <c r="P64" s="3">
        <f t="shared" ref="P64" si="26">ROUND(P65*$C$2,1)</f>
        <v>15810</v>
      </c>
      <c r="Q64" s="13">
        <f>ROUND(Q65*$C$2,1)</f>
        <v>11790</v>
      </c>
      <c r="R64" s="34">
        <f>ROUND(R65*$C$2,1)</f>
        <v>8010</v>
      </c>
    </row>
    <row r="65" spans="1:18" x14ac:dyDescent="0.35">
      <c r="B65" t="s">
        <v>66</v>
      </c>
      <c r="C65" s="10">
        <v>333</v>
      </c>
      <c r="D65">
        <v>437</v>
      </c>
      <c r="E65" s="11">
        <v>230</v>
      </c>
      <c r="F65" s="10">
        <v>253</v>
      </c>
      <c r="G65">
        <v>280</v>
      </c>
      <c r="H65">
        <v>340</v>
      </c>
      <c r="I65">
        <v>300</v>
      </c>
      <c r="J65">
        <v>393</v>
      </c>
      <c r="K65">
        <v>233</v>
      </c>
      <c r="L65">
        <v>287</v>
      </c>
      <c r="M65">
        <v>420</v>
      </c>
      <c r="N65">
        <v>480</v>
      </c>
      <c r="O65">
        <v>427</v>
      </c>
      <c r="P65">
        <v>527</v>
      </c>
      <c r="Q65" s="11">
        <v>393</v>
      </c>
      <c r="R65" s="20">
        <v>267</v>
      </c>
    </row>
    <row r="66" spans="1:18" x14ac:dyDescent="0.35">
      <c r="A66" t="s">
        <v>36</v>
      </c>
      <c r="B66" t="s">
        <v>66</v>
      </c>
      <c r="C66" s="10">
        <v>300</v>
      </c>
      <c r="D66">
        <v>400</v>
      </c>
      <c r="E66" s="11">
        <v>200</v>
      </c>
      <c r="F66" s="10"/>
      <c r="Q66" s="11"/>
      <c r="R66" s="20"/>
    </row>
    <row r="67" spans="1:18" x14ac:dyDescent="0.35">
      <c r="A67" t="s">
        <v>37</v>
      </c>
      <c r="B67" t="s">
        <v>66</v>
      </c>
      <c r="C67" s="10">
        <f>C66-C65</f>
        <v>-33</v>
      </c>
      <c r="D67">
        <f>D66-D65</f>
        <v>-37</v>
      </c>
      <c r="E67" s="11">
        <f>E66-E65</f>
        <v>-30</v>
      </c>
      <c r="F67" s="10"/>
      <c r="Q67" s="11"/>
      <c r="R67" s="20"/>
    </row>
    <row r="68" spans="1:18" x14ac:dyDescent="0.35">
      <c r="A68" t="s">
        <v>38</v>
      </c>
      <c r="B68" t="s">
        <v>66</v>
      </c>
      <c r="C68" s="10">
        <f>C67</f>
        <v>-33</v>
      </c>
      <c r="D68">
        <f>SUM($C67:D67)</f>
        <v>-70</v>
      </c>
      <c r="E68" s="11">
        <f>SUM($C67:E67)</f>
        <v>-100</v>
      </c>
      <c r="F68" s="10"/>
      <c r="Q68" s="11"/>
      <c r="R68" s="20"/>
    </row>
    <row r="69" spans="1:18" x14ac:dyDescent="0.35">
      <c r="C69" s="10"/>
      <c r="E69" s="11"/>
      <c r="F69" s="10"/>
      <c r="Q69" s="11"/>
      <c r="R69" s="20"/>
    </row>
    <row r="70" spans="1:18" x14ac:dyDescent="0.35">
      <c r="A70" s="1" t="s">
        <v>0</v>
      </c>
      <c r="C70" s="10"/>
      <c r="E70" s="11"/>
      <c r="F70" s="10"/>
      <c r="G70" s="6"/>
      <c r="Q70" s="11"/>
      <c r="R70" s="20"/>
    </row>
    <row r="71" spans="1:18" x14ac:dyDescent="0.35">
      <c r="A71" t="s">
        <v>39</v>
      </c>
      <c r="B71" t="s">
        <v>66</v>
      </c>
      <c r="C71" s="10">
        <f>C65</f>
        <v>333</v>
      </c>
      <c r="D71">
        <f>D65</f>
        <v>437</v>
      </c>
      <c r="E71" s="11">
        <f>E65</f>
        <v>230</v>
      </c>
      <c r="F71" s="29">
        <f>F65-E81+F79</f>
        <v>104.66666666666667</v>
      </c>
      <c r="G71" s="5">
        <f>G65-F79+G79</f>
        <v>287.24637681159419</v>
      </c>
      <c r="H71" s="5">
        <f t="shared" ref="H71:Q71" si="27">H65-G79+H79</f>
        <v>341.08695652173913</v>
      </c>
      <c r="I71" s="5">
        <f t="shared" si="27"/>
        <v>314.31818181818181</v>
      </c>
      <c r="J71" s="5">
        <f t="shared" si="27"/>
        <v>356.63636363636363</v>
      </c>
      <c r="K71" s="5">
        <f t="shared" si="27"/>
        <v>323.54545454545456</v>
      </c>
      <c r="L71" s="5">
        <f t="shared" si="27"/>
        <v>234.80434782608694</v>
      </c>
      <c r="M71" s="5">
        <f t="shared" si="27"/>
        <v>448.69565217391306</v>
      </c>
      <c r="N71" s="5">
        <f t="shared" si="27"/>
        <v>457.04545454545456</v>
      </c>
      <c r="O71" s="5">
        <f t="shared" si="27"/>
        <v>461.70454545454544</v>
      </c>
      <c r="P71" s="5">
        <f t="shared" si="27"/>
        <v>493.5</v>
      </c>
      <c r="Q71" s="5">
        <f t="shared" si="27"/>
        <v>361.5</v>
      </c>
      <c r="R71" s="20"/>
    </row>
    <row r="72" spans="1:18" x14ac:dyDescent="0.35">
      <c r="A72" t="s">
        <v>40</v>
      </c>
      <c r="B72" t="s">
        <v>68</v>
      </c>
      <c r="C72" s="12">
        <f>C71*1000/C73/$C$3</f>
        <v>1892.0454545454545</v>
      </c>
      <c r="D72" s="3">
        <f t="shared" ref="D72" si="28">D71*1000/D73/$C$3</f>
        <v>2731.25</v>
      </c>
      <c r="E72" s="13">
        <f t="shared" ref="E72" si="29">E71*1000/E73/$C$3</f>
        <v>1437.5</v>
      </c>
      <c r="F72" s="29">
        <f>F71*1000/($C$3*F73)</f>
        <v>654.16666666666674</v>
      </c>
      <c r="G72" s="5">
        <f t="shared" ref="G72" si="30">G71*1000/($C$3*G73)</f>
        <v>1709.7998619737748</v>
      </c>
      <c r="H72" s="5">
        <f t="shared" ref="H72" si="31">H71*1000/($C$3*H73)</f>
        <v>1853.733459357278</v>
      </c>
      <c r="I72" s="5">
        <f t="shared" ref="I72" si="32">I71*1000/($C$3*I73)</f>
        <v>1964.4886363636365</v>
      </c>
      <c r="J72" s="5">
        <f t="shared" ref="J72" si="33">J71*1000/($C$3*J73)</f>
        <v>2026.3429752066115</v>
      </c>
      <c r="K72" s="5">
        <f t="shared" ref="K72" si="34">K71*1000/($C$3*K73)</f>
        <v>1838.3264462809921</v>
      </c>
      <c r="L72" s="5">
        <f t="shared" ref="L72" si="35">L71*1000/($C$3*L73)</f>
        <v>2935.054347826087</v>
      </c>
      <c r="M72" s="5">
        <f t="shared" ref="M72" si="36">M71*1000/($C$3*M73)</f>
        <v>2438.5633270321364</v>
      </c>
      <c r="N72" s="5">
        <f t="shared" ref="N72" si="37">N71*1000/($C$3*N73)</f>
        <v>2856.534090909091</v>
      </c>
      <c r="O72" s="5">
        <f t="shared" ref="O72" si="38">O71*1000/($C$3*O73)</f>
        <v>2623.3212809917354</v>
      </c>
      <c r="P72" s="5">
        <f t="shared" ref="P72" si="39">P71*1000/($C$3*P73)</f>
        <v>3084.375</v>
      </c>
      <c r="Q72" s="79">
        <f t="shared" ref="Q72" si="40">Q71*1000/($C$3*Q73)</f>
        <v>2259.375</v>
      </c>
      <c r="R72" s="20"/>
    </row>
    <row r="73" spans="1:18" x14ac:dyDescent="0.35">
      <c r="A73" t="s">
        <v>41</v>
      </c>
      <c r="B73" t="s">
        <v>67</v>
      </c>
      <c r="C73" s="10">
        <v>22</v>
      </c>
      <c r="D73">
        <v>20</v>
      </c>
      <c r="E73" s="11">
        <v>20</v>
      </c>
      <c r="F73" s="10">
        <v>20</v>
      </c>
      <c r="G73">
        <v>21</v>
      </c>
      <c r="H73">
        <v>23</v>
      </c>
      <c r="I73">
        <v>20</v>
      </c>
      <c r="J73">
        <v>22</v>
      </c>
      <c r="K73">
        <v>22</v>
      </c>
      <c r="L73">
        <v>10</v>
      </c>
      <c r="M73">
        <v>23</v>
      </c>
      <c r="N73">
        <v>20</v>
      </c>
      <c r="O73">
        <v>22</v>
      </c>
      <c r="P73">
        <v>20</v>
      </c>
      <c r="Q73" s="11">
        <v>20</v>
      </c>
      <c r="R73" s="20">
        <v>20</v>
      </c>
    </row>
    <row r="74" spans="1:18" x14ac:dyDescent="0.35">
      <c r="A74" t="s">
        <v>42</v>
      </c>
      <c r="B74" t="s">
        <v>66</v>
      </c>
      <c r="C74" s="10">
        <v>360</v>
      </c>
      <c r="D74">
        <v>455</v>
      </c>
      <c r="E74" s="11">
        <v>300</v>
      </c>
      <c r="F74" s="77"/>
      <c r="Q74" s="11"/>
      <c r="R74" s="20"/>
    </row>
    <row r="75" spans="1:18" x14ac:dyDescent="0.35">
      <c r="A75" t="s">
        <v>37</v>
      </c>
      <c r="B75" t="s">
        <v>66</v>
      </c>
      <c r="C75" s="10">
        <f>C74-C71</f>
        <v>27</v>
      </c>
      <c r="D75">
        <f t="shared" ref="D75" si="41">D74-D71</f>
        <v>18</v>
      </c>
      <c r="E75" s="11">
        <f t="shared" ref="E75" si="42">E74-E71</f>
        <v>70</v>
      </c>
      <c r="F75" s="10"/>
      <c r="Q75" s="11"/>
      <c r="R75" s="20"/>
    </row>
    <row r="76" spans="1:18" x14ac:dyDescent="0.35">
      <c r="A76" t="s">
        <v>38</v>
      </c>
      <c r="B76" t="s">
        <v>66</v>
      </c>
      <c r="C76" s="10">
        <f>C75</f>
        <v>27</v>
      </c>
      <c r="D76">
        <f>SUM($C75:D75)</f>
        <v>45</v>
      </c>
      <c r="E76" s="11">
        <f>SUM($C75:E75)</f>
        <v>115</v>
      </c>
      <c r="F76" s="10"/>
      <c r="Q76" s="11"/>
      <c r="R76" s="20"/>
    </row>
    <row r="77" spans="1:18" x14ac:dyDescent="0.35">
      <c r="C77" s="10"/>
      <c r="E77" s="11"/>
      <c r="F77" s="10"/>
      <c r="Q77" s="11"/>
      <c r="R77" s="20"/>
    </row>
    <row r="78" spans="1:18" x14ac:dyDescent="0.35">
      <c r="A78" s="1" t="s">
        <v>45</v>
      </c>
      <c r="C78" s="10"/>
      <c r="E78" s="11"/>
      <c r="F78" s="10"/>
      <c r="Q78" s="11"/>
      <c r="R78" s="20"/>
    </row>
    <row r="79" spans="1:18" x14ac:dyDescent="0.35">
      <c r="A79" t="s">
        <v>43</v>
      </c>
      <c r="B79" t="s">
        <v>66</v>
      </c>
      <c r="C79" s="10">
        <f>$C$4+C71-C65</f>
        <v>0</v>
      </c>
      <c r="D79">
        <f>C79+D71-D65</f>
        <v>0</v>
      </c>
      <c r="E79" s="11">
        <f>D79+E71-E65</f>
        <v>0</v>
      </c>
      <c r="F79" s="41">
        <f>F82*G65/G73</f>
        <v>66.666666666666671</v>
      </c>
      <c r="G79" s="42">
        <f t="shared" ref="G79:Q79" si="43">G82*H65/H73</f>
        <v>73.913043478260875</v>
      </c>
      <c r="H79" s="42">
        <f t="shared" si="43"/>
        <v>75</v>
      </c>
      <c r="I79" s="42">
        <f t="shared" si="43"/>
        <v>89.318181818181813</v>
      </c>
      <c r="J79" s="42">
        <f t="shared" si="43"/>
        <v>52.954545454545453</v>
      </c>
      <c r="K79" s="42">
        <f t="shared" si="43"/>
        <v>143.5</v>
      </c>
      <c r="L79" s="42">
        <f t="shared" si="43"/>
        <v>91.304347826086953</v>
      </c>
      <c r="M79" s="42">
        <f t="shared" si="43"/>
        <v>120</v>
      </c>
      <c r="N79" s="42">
        <f t="shared" si="43"/>
        <v>97.045454545454547</v>
      </c>
      <c r="O79" s="42">
        <f t="shared" si="43"/>
        <v>131.75</v>
      </c>
      <c r="P79" s="42">
        <f t="shared" si="43"/>
        <v>98.25</v>
      </c>
      <c r="Q79" s="42">
        <f t="shared" si="43"/>
        <v>66.75</v>
      </c>
      <c r="R79" s="20"/>
    </row>
    <row r="80" spans="1:18" x14ac:dyDescent="0.35">
      <c r="B80" t="s">
        <v>7</v>
      </c>
      <c r="C80" s="10">
        <f>C79*$C$2</f>
        <v>0</v>
      </c>
      <c r="D80">
        <f t="shared" ref="D80" si="44">D79*$C$2</f>
        <v>0</v>
      </c>
      <c r="E80" s="11">
        <f t="shared" ref="E80" si="45">E79*$C$2</f>
        <v>0</v>
      </c>
      <c r="F80" s="12">
        <f>F79*$C$2</f>
        <v>2000.0000000000002</v>
      </c>
      <c r="G80" s="3">
        <f>G79*$C$2</f>
        <v>2217.391304347826</v>
      </c>
      <c r="H80" s="3">
        <f t="shared" ref="H80" si="46">H79*$C$2</f>
        <v>2250</v>
      </c>
      <c r="I80" s="3">
        <f t="shared" ref="I80" si="47">I79*$C$2</f>
        <v>2679.5454545454545</v>
      </c>
      <c r="J80" s="3">
        <f t="shared" ref="J80" si="48">J79*$C$2</f>
        <v>1588.6363636363635</v>
      </c>
      <c r="K80" s="3">
        <f t="shared" ref="K80" si="49">K79*$C$2</f>
        <v>4305</v>
      </c>
      <c r="L80" s="3">
        <f t="shared" ref="L80" si="50">L79*$C$2</f>
        <v>2739.1304347826085</v>
      </c>
      <c r="M80" s="3">
        <f t="shared" ref="M80" si="51">M79*$C$2</f>
        <v>3600</v>
      </c>
      <c r="N80" s="3">
        <f t="shared" ref="N80" si="52">N79*$C$2</f>
        <v>2911.3636363636365</v>
      </c>
      <c r="O80" s="3">
        <f t="shared" ref="O80" si="53">O79*$C$2</f>
        <v>3952.5</v>
      </c>
      <c r="P80" s="3">
        <f t="shared" ref="P80" si="54">P79*$C$2</f>
        <v>2947.5</v>
      </c>
      <c r="Q80" s="3">
        <f t="shared" ref="Q80" si="55">Q79*$C$2</f>
        <v>2002.5</v>
      </c>
      <c r="R80" s="20"/>
    </row>
    <row r="81" spans="1:18" x14ac:dyDescent="0.35">
      <c r="A81" t="s">
        <v>44</v>
      </c>
      <c r="B81" t="s">
        <v>66</v>
      </c>
      <c r="C81" s="10">
        <f>$C$4+C74-C66</f>
        <v>60</v>
      </c>
      <c r="D81">
        <f>C81+D74-D66</f>
        <v>115</v>
      </c>
      <c r="E81" s="11">
        <f>D81+E74-E66</f>
        <v>215</v>
      </c>
      <c r="F81" s="10"/>
      <c r="Q81" s="11"/>
      <c r="R81" s="20"/>
    </row>
    <row r="82" spans="1:18" ht="15" thickBot="1" x14ac:dyDescent="0.4">
      <c r="A82" t="s">
        <v>46</v>
      </c>
      <c r="B82" t="s">
        <v>69</v>
      </c>
      <c r="C82" s="14">
        <f>C81/(D66/D73)</f>
        <v>3</v>
      </c>
      <c r="D82" s="15">
        <f>D81/(E66/E73)</f>
        <v>11.5</v>
      </c>
      <c r="E82" s="16">
        <f>E81/(F65/F73)</f>
        <v>16.996047430830039</v>
      </c>
      <c r="F82" s="18">
        <f>B57</f>
        <v>5</v>
      </c>
      <c r="G82" s="15">
        <f>F82</f>
        <v>5</v>
      </c>
      <c r="H82" s="15">
        <f t="shared" ref="H82:Q82" si="56">G82</f>
        <v>5</v>
      </c>
      <c r="I82" s="15">
        <f t="shared" si="56"/>
        <v>5</v>
      </c>
      <c r="J82" s="15">
        <f t="shared" si="56"/>
        <v>5</v>
      </c>
      <c r="K82" s="15">
        <f t="shared" si="56"/>
        <v>5</v>
      </c>
      <c r="L82" s="15">
        <f t="shared" si="56"/>
        <v>5</v>
      </c>
      <c r="M82" s="15">
        <f t="shared" si="56"/>
        <v>5</v>
      </c>
      <c r="N82" s="15">
        <f t="shared" si="56"/>
        <v>5</v>
      </c>
      <c r="O82" s="15">
        <f t="shared" si="56"/>
        <v>5</v>
      </c>
      <c r="P82" s="15">
        <f t="shared" si="56"/>
        <v>5</v>
      </c>
      <c r="Q82" s="15">
        <f t="shared" si="56"/>
        <v>5</v>
      </c>
      <c r="R82" s="21"/>
    </row>
    <row r="83" spans="1:18" ht="15" thickBot="1" x14ac:dyDescent="0.4">
      <c r="A83" t="s">
        <v>47</v>
      </c>
      <c r="C83" s="50">
        <v>98</v>
      </c>
      <c r="D83" s="51">
        <v>100</v>
      </c>
      <c r="E83" s="52">
        <v>100</v>
      </c>
    </row>
    <row r="86" spans="1:18" ht="15" thickBot="1" x14ac:dyDescent="0.4"/>
    <row r="87" spans="1:18" x14ac:dyDescent="0.35">
      <c r="E87" s="19" t="s">
        <v>49</v>
      </c>
      <c r="F87" s="47">
        <f>MAX(F72-$C$8,0)</f>
        <v>0</v>
      </c>
      <c r="G87" s="27">
        <f>MAX(G72-F89,0)</f>
        <v>1055.6331953071081</v>
      </c>
      <c r="H87" s="27">
        <f t="shared" ref="H87:Q87" si="57">MAX(H72-G89,0)</f>
        <v>143.93359738350318</v>
      </c>
      <c r="I87" s="27">
        <f t="shared" si="57"/>
        <v>110.75517700635851</v>
      </c>
      <c r="J87" s="27">
        <f t="shared" si="57"/>
        <v>61.854338842975039</v>
      </c>
      <c r="K87" s="27">
        <f t="shared" si="57"/>
        <v>0</v>
      </c>
      <c r="L87" s="27">
        <f t="shared" si="57"/>
        <v>1096.7279015450949</v>
      </c>
      <c r="M87" s="27">
        <f t="shared" si="57"/>
        <v>0</v>
      </c>
      <c r="N87" s="27">
        <f t="shared" si="57"/>
        <v>417.97076387695461</v>
      </c>
      <c r="O87" s="27">
        <f t="shared" si="57"/>
        <v>0</v>
      </c>
      <c r="P87" s="27">
        <f t="shared" si="57"/>
        <v>461.05371900826458</v>
      </c>
      <c r="Q87" s="28">
        <f t="shared" si="57"/>
        <v>0</v>
      </c>
    </row>
    <row r="88" spans="1:18" x14ac:dyDescent="0.35">
      <c r="E88" s="20" t="s">
        <v>50</v>
      </c>
      <c r="F88" s="12">
        <f>MAX($C$8-F72,0)</f>
        <v>782.83333333333326</v>
      </c>
      <c r="G88" s="30">
        <f>MAX(F89-G72,0)</f>
        <v>0</v>
      </c>
      <c r="H88" s="30">
        <f t="shared" ref="H88:Q88" si="58">MAX(G89-H72,0)</f>
        <v>0</v>
      </c>
      <c r="I88" s="30">
        <f t="shared" si="58"/>
        <v>0</v>
      </c>
      <c r="J88" s="30">
        <f t="shared" si="58"/>
        <v>0</v>
      </c>
      <c r="K88" s="30">
        <f t="shared" si="58"/>
        <v>188.01652892561947</v>
      </c>
      <c r="L88" s="30">
        <f t="shared" si="58"/>
        <v>0</v>
      </c>
      <c r="M88" s="30">
        <f t="shared" si="58"/>
        <v>496.49102079395061</v>
      </c>
      <c r="N88" s="30">
        <f t="shared" si="58"/>
        <v>0</v>
      </c>
      <c r="O88" s="30">
        <f t="shared" si="58"/>
        <v>233.21280991735557</v>
      </c>
      <c r="P88" s="30">
        <f t="shared" si="58"/>
        <v>0</v>
      </c>
      <c r="Q88" s="31">
        <f t="shared" si="58"/>
        <v>825</v>
      </c>
    </row>
    <row r="89" spans="1:18" ht="15" thickBot="1" x14ac:dyDescent="0.4">
      <c r="E89" s="21" t="s">
        <v>48</v>
      </c>
      <c r="F89" s="48">
        <f>$C$8+F87-F88</f>
        <v>654.16666666666674</v>
      </c>
      <c r="G89" s="32">
        <f>F89+G87-G88</f>
        <v>1709.7998619737748</v>
      </c>
      <c r="H89" s="32">
        <f t="shared" ref="H89" si="59">G89+H87-H88</f>
        <v>1853.733459357278</v>
      </c>
      <c r="I89" s="32">
        <f t="shared" ref="I89" si="60">H89+I87-I88</f>
        <v>1964.4886363636365</v>
      </c>
      <c r="J89" s="32">
        <f t="shared" ref="J89" si="61">I89+J87-J88</f>
        <v>2026.3429752066115</v>
      </c>
      <c r="K89" s="32">
        <f t="shared" ref="K89" si="62">J89+K87-K88</f>
        <v>1838.3264462809921</v>
      </c>
      <c r="L89" s="32">
        <f t="shared" ref="L89" si="63">K89+L87-L88</f>
        <v>2935.054347826087</v>
      </c>
      <c r="M89" s="32">
        <f t="shared" ref="M89" si="64">L89+M87-M88</f>
        <v>2438.5633270321364</v>
      </c>
      <c r="N89" s="32">
        <f t="shared" ref="N89" si="65">M89+N87-N88</f>
        <v>2856.534090909091</v>
      </c>
      <c r="O89" s="32">
        <f t="shared" ref="O89" si="66">N89+O87-O88</f>
        <v>2623.3212809917354</v>
      </c>
      <c r="P89" s="32">
        <f t="shared" ref="P89" si="67">O89+P87-P88</f>
        <v>3084.375</v>
      </c>
      <c r="Q89" s="33">
        <f t="shared" ref="Q89" si="68">P89+Q87-Q88</f>
        <v>2259.375</v>
      </c>
    </row>
    <row r="91" spans="1:18" ht="15" thickBot="1" x14ac:dyDescent="0.4">
      <c r="E91" t="s">
        <v>59</v>
      </c>
      <c r="R91" s="8" t="s">
        <v>60</v>
      </c>
    </row>
    <row r="92" spans="1:18" x14ac:dyDescent="0.35">
      <c r="E92" s="19" t="s">
        <v>49</v>
      </c>
      <c r="F92" s="27">
        <f t="shared" ref="F92:Q92" si="69">F87*$C$6</f>
        <v>0</v>
      </c>
      <c r="G92" s="27">
        <f t="shared" si="69"/>
        <v>211.12663906142163</v>
      </c>
      <c r="H92" s="27">
        <f t="shared" si="69"/>
        <v>28.78671947670064</v>
      </c>
      <c r="I92" s="27">
        <f t="shared" si="69"/>
        <v>22.151035401271702</v>
      </c>
      <c r="J92" s="27">
        <f t="shared" si="69"/>
        <v>12.370867768595009</v>
      </c>
      <c r="K92" s="27">
        <f t="shared" si="69"/>
        <v>0</v>
      </c>
      <c r="L92" s="27">
        <f t="shared" si="69"/>
        <v>219.345580309019</v>
      </c>
      <c r="M92" s="27">
        <f t="shared" si="69"/>
        <v>0</v>
      </c>
      <c r="N92" s="27">
        <f t="shared" si="69"/>
        <v>83.594152775390924</v>
      </c>
      <c r="O92" s="27">
        <f t="shared" si="69"/>
        <v>0</v>
      </c>
      <c r="P92" s="27">
        <f t="shared" si="69"/>
        <v>92.210743801652924</v>
      </c>
      <c r="Q92" s="28">
        <f t="shared" si="69"/>
        <v>0</v>
      </c>
      <c r="R92" s="37">
        <f>SUM(F92:Q92)</f>
        <v>669.58573859405192</v>
      </c>
    </row>
    <row r="93" spans="1:18" x14ac:dyDescent="0.35">
      <c r="E93" s="20" t="s">
        <v>50</v>
      </c>
      <c r="F93" s="30">
        <f>F88*$C$7</f>
        <v>391.41666666666663</v>
      </c>
      <c r="G93" s="30">
        <f t="shared" ref="G93:Q93" si="70">G88*$C$7</f>
        <v>0</v>
      </c>
      <c r="H93" s="30">
        <f t="shared" si="70"/>
        <v>0</v>
      </c>
      <c r="I93" s="30">
        <f t="shared" si="70"/>
        <v>0</v>
      </c>
      <c r="J93" s="30">
        <f t="shared" si="70"/>
        <v>0</v>
      </c>
      <c r="K93" s="30">
        <f t="shared" si="70"/>
        <v>94.008264462809734</v>
      </c>
      <c r="L93" s="30">
        <f t="shared" si="70"/>
        <v>0</v>
      </c>
      <c r="M93" s="30">
        <f t="shared" si="70"/>
        <v>248.24551039697531</v>
      </c>
      <c r="N93" s="30">
        <f t="shared" si="70"/>
        <v>0</v>
      </c>
      <c r="O93" s="30">
        <f t="shared" si="70"/>
        <v>116.60640495867779</v>
      </c>
      <c r="P93" s="30">
        <f t="shared" si="70"/>
        <v>0</v>
      </c>
      <c r="Q93" s="31">
        <f t="shared" si="70"/>
        <v>412.5</v>
      </c>
      <c r="R93" s="38">
        <f t="shared" ref="R93:R94" si="71">SUM(F93:Q93)</f>
        <v>1262.7768464851295</v>
      </c>
    </row>
    <row r="94" spans="1:18" ht="15" thickBot="1" x14ac:dyDescent="0.4">
      <c r="E94" s="21" t="s">
        <v>8</v>
      </c>
      <c r="F94" s="32">
        <f>F79*$C$2*$C$5</f>
        <v>40.000000000000007</v>
      </c>
      <c r="G94" s="32">
        <f>G79*$C$2*$C$5</f>
        <v>44.347826086956523</v>
      </c>
      <c r="H94" s="32">
        <f t="shared" ref="H94:P94" si="72">H79*$C$2*$C$5</f>
        <v>45</v>
      </c>
      <c r="I94" s="32">
        <f t="shared" si="72"/>
        <v>53.590909090909093</v>
      </c>
      <c r="J94" s="32">
        <f t="shared" si="72"/>
        <v>31.77272727272727</v>
      </c>
      <c r="K94" s="32">
        <f t="shared" si="72"/>
        <v>86.100000000000009</v>
      </c>
      <c r="L94" s="32">
        <f t="shared" si="72"/>
        <v>54.782608695652172</v>
      </c>
      <c r="M94" s="32">
        <f t="shared" si="72"/>
        <v>72</v>
      </c>
      <c r="N94" s="32">
        <f t="shared" si="72"/>
        <v>58.227272727272734</v>
      </c>
      <c r="O94" s="32">
        <f t="shared" si="72"/>
        <v>79.05</v>
      </c>
      <c r="P94" s="32">
        <f t="shared" si="72"/>
        <v>58.95</v>
      </c>
      <c r="Q94" s="33">
        <f>Q79*$C$2*$C$5</f>
        <v>40.050000000000004</v>
      </c>
      <c r="R94" s="39">
        <f t="shared" si="71"/>
        <v>663.87134387351784</v>
      </c>
    </row>
    <row r="95" spans="1:18" x14ac:dyDescent="0.35">
      <c r="Q95" s="9" t="s">
        <v>61</v>
      </c>
      <c r="R95" s="40">
        <f>SUM(R92:R94)</f>
        <v>2596.233928952699</v>
      </c>
    </row>
    <row r="96" spans="1:18" ht="15" thickBot="1" x14ac:dyDescent="0.4"/>
    <row r="97" spans="1:18" x14ac:dyDescent="0.35">
      <c r="A97" s="67" t="s">
        <v>63</v>
      </c>
      <c r="B97" s="68"/>
      <c r="C97" s="67"/>
      <c r="D97" s="69"/>
      <c r="E97" s="68">
        <v>0</v>
      </c>
      <c r="F97" s="47">
        <f t="shared" ref="F97:Q97" si="73">F71+F79</f>
        <v>171.33333333333334</v>
      </c>
      <c r="G97" s="27">
        <f t="shared" si="73"/>
        <v>361.15942028985506</v>
      </c>
      <c r="H97" s="27">
        <f t="shared" si="73"/>
        <v>416.08695652173913</v>
      </c>
      <c r="I97" s="27">
        <f t="shared" si="73"/>
        <v>403.63636363636363</v>
      </c>
      <c r="J97" s="27">
        <f t="shared" si="73"/>
        <v>409.59090909090907</v>
      </c>
      <c r="K97" s="27">
        <f t="shared" si="73"/>
        <v>467.04545454545456</v>
      </c>
      <c r="L97" s="27">
        <f t="shared" si="73"/>
        <v>326.10869565217388</v>
      </c>
      <c r="M97" s="27">
        <f t="shared" si="73"/>
        <v>568.695652173913</v>
      </c>
      <c r="N97" s="27">
        <f t="shared" si="73"/>
        <v>554.09090909090912</v>
      </c>
      <c r="O97" s="27">
        <f t="shared" si="73"/>
        <v>593.4545454545455</v>
      </c>
      <c r="P97" s="27">
        <f t="shared" si="73"/>
        <v>591.75</v>
      </c>
      <c r="Q97" s="28">
        <f t="shared" si="73"/>
        <v>428.25</v>
      </c>
      <c r="R97" s="40"/>
    </row>
    <row r="98" spans="1:18" x14ac:dyDescent="0.35">
      <c r="A98" s="10" t="s">
        <v>64</v>
      </c>
      <c r="B98" s="11" t="s">
        <v>66</v>
      </c>
      <c r="C98" s="10"/>
      <c r="E98" s="11"/>
      <c r="F98" s="70">
        <f>SUM($F65:F65)</f>
        <v>253</v>
      </c>
      <c r="G98" s="30">
        <f>SUM($F65:G65)</f>
        <v>533</v>
      </c>
      <c r="H98" s="30">
        <f>SUM($F65:H65)</f>
        <v>873</v>
      </c>
      <c r="I98" s="30">
        <f>SUM($F65:I65)</f>
        <v>1173</v>
      </c>
      <c r="J98" s="30">
        <f>SUM($F65:J65)</f>
        <v>1566</v>
      </c>
      <c r="K98" s="30">
        <f>SUM($F65:K65)</f>
        <v>1799</v>
      </c>
      <c r="L98" s="30">
        <f>SUM($F65:L65)</f>
        <v>2086</v>
      </c>
      <c r="M98" s="30">
        <f>SUM($F65:M65)</f>
        <v>2506</v>
      </c>
      <c r="N98" s="30">
        <f>SUM($F65:N65)</f>
        <v>2986</v>
      </c>
      <c r="O98" s="30">
        <f>SUM($F65:O65)</f>
        <v>3413</v>
      </c>
      <c r="P98" s="30">
        <f>SUM($F65:P65)</f>
        <v>3940</v>
      </c>
      <c r="Q98" s="31">
        <f>SUM($F65:Q65)</f>
        <v>4333</v>
      </c>
    </row>
    <row r="99" spans="1:18" ht="15" thickBot="1" x14ac:dyDescent="0.4">
      <c r="A99" s="71" t="s">
        <v>65</v>
      </c>
      <c r="B99" s="72" t="s">
        <v>66</v>
      </c>
      <c r="C99" s="73"/>
      <c r="D99" s="74"/>
      <c r="E99" s="72">
        <f>$E81</f>
        <v>215</v>
      </c>
      <c r="F99" s="48">
        <f>SUM($F71:F71)+$E81</f>
        <v>319.66666666666669</v>
      </c>
      <c r="G99" s="32">
        <f>SUM($F71:G71)+$E81</f>
        <v>606.91304347826087</v>
      </c>
      <c r="H99" s="32">
        <f>SUM($F71:H71)+$E81</f>
        <v>948</v>
      </c>
      <c r="I99" s="32">
        <f>SUM($F71:I71)+$E81</f>
        <v>1262.3181818181818</v>
      </c>
      <c r="J99" s="32">
        <f>SUM($F71:J71)+$E81</f>
        <v>1618.9545454545455</v>
      </c>
      <c r="K99" s="32">
        <f>SUM($F71:K71)+$E81</f>
        <v>1942.5</v>
      </c>
      <c r="L99" s="32">
        <f>SUM($F71:L71)+$E81</f>
        <v>2177.304347826087</v>
      </c>
      <c r="M99" s="32">
        <f>SUM($F71:M71)+$E81</f>
        <v>2626</v>
      </c>
      <c r="N99" s="32">
        <f>SUM($F71:N71)+$E81</f>
        <v>3083.0454545454545</v>
      </c>
      <c r="O99" s="32">
        <f>SUM($F71:O71)+$E81</f>
        <v>3544.75</v>
      </c>
      <c r="P99" s="32">
        <f>SUM($F71:P71)+$E81</f>
        <v>4038.25</v>
      </c>
      <c r="Q99" s="33">
        <f>SUM($F71:Q71)+$E81</f>
        <v>4399.75</v>
      </c>
    </row>
    <row r="100" spans="1:18" x14ac:dyDescent="0.35">
      <c r="Q100" s="3"/>
    </row>
    <row r="102" spans="1:18" ht="21" x14ac:dyDescent="0.5">
      <c r="A102" s="84" t="s">
        <v>23</v>
      </c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</row>
    <row r="103" spans="1:18" ht="15.75" customHeight="1" x14ac:dyDescent="0.5">
      <c r="A103" t="s">
        <v>72</v>
      </c>
      <c r="B103" s="7" t="s">
        <v>69</v>
      </c>
      <c r="C103" s="76">
        <v>5</v>
      </c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ht="15.75" customHeight="1" x14ac:dyDescent="0.35">
      <c r="A104" t="s">
        <v>73</v>
      </c>
      <c r="B104" t="s">
        <v>66</v>
      </c>
      <c r="C104" s="5">
        <f>SUM(F117:Q117)</f>
        <v>4333</v>
      </c>
      <c r="E104" s="3"/>
    </row>
    <row r="105" spans="1:18" ht="15.75" customHeight="1" x14ac:dyDescent="0.35">
      <c r="A105" t="s">
        <v>74</v>
      </c>
      <c r="B105" t="s">
        <v>66</v>
      </c>
      <c r="C105" s="5">
        <f>C104-E133+Q131</f>
        <v>4184.75</v>
      </c>
    </row>
    <row r="106" spans="1:18" ht="15.75" customHeight="1" x14ac:dyDescent="0.35">
      <c r="A106" t="s">
        <v>78</v>
      </c>
      <c r="B106" s="7" t="s">
        <v>69</v>
      </c>
      <c r="C106" s="5">
        <f>SUM(F125:Q125)</f>
        <v>243</v>
      </c>
    </row>
    <row r="107" spans="1:18" ht="15.75" customHeight="1" x14ac:dyDescent="0.35">
      <c r="A107" t="s">
        <v>77</v>
      </c>
      <c r="B107" t="s">
        <v>66</v>
      </c>
      <c r="C107" s="4">
        <f>C105/C106</f>
        <v>17.22119341563786</v>
      </c>
    </row>
    <row r="108" spans="1:18" ht="15.75" customHeight="1" x14ac:dyDescent="0.35">
      <c r="A108" t="s">
        <v>75</v>
      </c>
      <c r="B108" t="s">
        <v>71</v>
      </c>
      <c r="C108" s="3">
        <f>$C$3*$C$106</f>
        <v>1944</v>
      </c>
    </row>
    <row r="109" spans="1:18" ht="15.75" customHeight="1" x14ac:dyDescent="0.35">
      <c r="A109" s="1" t="s">
        <v>76</v>
      </c>
      <c r="B109" s="1" t="s">
        <v>68</v>
      </c>
      <c r="C109" s="75">
        <f>C107*1000/C3</f>
        <v>2152.6491769547324</v>
      </c>
      <c r="D109" s="53">
        <f>C105*1000/C108</f>
        <v>2152.6491769547324</v>
      </c>
    </row>
    <row r="110" spans="1:18" ht="15" thickBot="1" x14ac:dyDescent="0.4"/>
    <row r="111" spans="1:18" x14ac:dyDescent="0.35">
      <c r="C111" s="81" t="s">
        <v>51</v>
      </c>
      <c r="D111" s="82"/>
      <c r="E111" s="83"/>
      <c r="F111" s="81" t="s">
        <v>43</v>
      </c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3"/>
      <c r="R111" s="22" t="s">
        <v>9</v>
      </c>
    </row>
    <row r="112" spans="1:18" x14ac:dyDescent="0.35">
      <c r="C112" s="24" t="s">
        <v>1</v>
      </c>
      <c r="D112" s="23" t="s">
        <v>2</v>
      </c>
      <c r="E112" s="25" t="s">
        <v>3</v>
      </c>
      <c r="F112" s="24" t="s">
        <v>4</v>
      </c>
      <c r="G112" s="23" t="s">
        <v>52</v>
      </c>
      <c r="H112" s="23" t="s">
        <v>53</v>
      </c>
      <c r="I112" s="23" t="s">
        <v>54</v>
      </c>
      <c r="J112" s="23" t="s">
        <v>55</v>
      </c>
      <c r="K112" s="23" t="s">
        <v>5</v>
      </c>
      <c r="L112" s="23" t="s">
        <v>56</v>
      </c>
      <c r="M112" s="23" t="s">
        <v>57</v>
      </c>
      <c r="N112" s="23" t="s">
        <v>58</v>
      </c>
      <c r="O112" s="23" t="s">
        <v>1</v>
      </c>
      <c r="P112" s="23" t="s">
        <v>6</v>
      </c>
      <c r="Q112" s="25" t="s">
        <v>3</v>
      </c>
      <c r="R112" s="26" t="s">
        <v>4</v>
      </c>
    </row>
    <row r="113" spans="1:20" x14ac:dyDescent="0.35">
      <c r="B113" s="7" t="s">
        <v>11</v>
      </c>
      <c r="C113" s="43">
        <v>1</v>
      </c>
      <c r="D113" s="44">
        <v>2</v>
      </c>
      <c r="E113" s="45">
        <v>3</v>
      </c>
      <c r="F113" s="43">
        <v>4</v>
      </c>
      <c r="G113" s="44">
        <v>5</v>
      </c>
      <c r="H113" s="44">
        <v>6</v>
      </c>
      <c r="I113" s="44">
        <v>7</v>
      </c>
      <c r="J113" s="44">
        <v>8</v>
      </c>
      <c r="K113" s="44">
        <v>9</v>
      </c>
      <c r="L113" s="44">
        <v>10</v>
      </c>
      <c r="M113" s="44">
        <v>11</v>
      </c>
      <c r="N113" s="44">
        <v>12</v>
      </c>
      <c r="O113" s="44">
        <v>13</v>
      </c>
      <c r="P113" s="44">
        <v>14</v>
      </c>
      <c r="Q113" s="44">
        <v>15</v>
      </c>
      <c r="R113" s="46"/>
    </row>
    <row r="114" spans="1:20" x14ac:dyDescent="0.35">
      <c r="B114" s="7" t="s">
        <v>12</v>
      </c>
      <c r="C114" s="43">
        <v>-3</v>
      </c>
      <c r="D114" s="44">
        <v>-2</v>
      </c>
      <c r="E114" s="45">
        <v>-1</v>
      </c>
      <c r="F114" s="43">
        <v>1</v>
      </c>
      <c r="G114" s="44">
        <v>2</v>
      </c>
      <c r="H114" s="44">
        <v>3</v>
      </c>
      <c r="I114" s="44">
        <v>4</v>
      </c>
      <c r="J114" s="44">
        <v>5</v>
      </c>
      <c r="K114" s="44">
        <v>6</v>
      </c>
      <c r="L114" s="44">
        <v>7</v>
      </c>
      <c r="M114" s="44">
        <v>8</v>
      </c>
      <c r="N114" s="44">
        <v>9</v>
      </c>
      <c r="O114" s="44">
        <v>10</v>
      </c>
      <c r="P114" s="44">
        <v>11</v>
      </c>
      <c r="Q114" s="44">
        <v>12</v>
      </c>
      <c r="R114" s="46"/>
    </row>
    <row r="115" spans="1:20" x14ac:dyDescent="0.35">
      <c r="A115" s="1" t="s">
        <v>35</v>
      </c>
      <c r="B115" s="2"/>
      <c r="C115" s="10"/>
      <c r="E115" s="11"/>
      <c r="F115" s="10"/>
      <c r="Q115" s="11"/>
      <c r="R115" s="20"/>
    </row>
    <row r="116" spans="1:20" x14ac:dyDescent="0.35">
      <c r="A116" t="s">
        <v>34</v>
      </c>
      <c r="B116" t="s">
        <v>10</v>
      </c>
      <c r="C116" s="12">
        <f>ROUND(C117*$C$2,1)</f>
        <v>9990</v>
      </c>
      <c r="D116" s="3">
        <f>ROUND(D117*$C$2,1)</f>
        <v>13110</v>
      </c>
      <c r="E116" s="13">
        <f>ROUND(E117*$C$2,1)</f>
        <v>6900</v>
      </c>
      <c r="F116" s="12">
        <f>ROUND(F117*$C$2,1)</f>
        <v>7590</v>
      </c>
      <c r="G116" s="3">
        <f>ROUND(G117*$C$2,1)</f>
        <v>8400</v>
      </c>
      <c r="H116" s="3">
        <f t="shared" ref="H116" si="74">ROUND(H117*$C$2,1)</f>
        <v>10200</v>
      </c>
      <c r="I116" s="3">
        <f t="shared" ref="I116" si="75">ROUND(I117*$C$2,1)</f>
        <v>9000</v>
      </c>
      <c r="J116" s="3">
        <f t="shared" ref="J116" si="76">ROUND(J117*$C$2,1)</f>
        <v>11790</v>
      </c>
      <c r="K116" s="3">
        <f t="shared" ref="K116" si="77">ROUND(K117*$C$2,1)</f>
        <v>6990</v>
      </c>
      <c r="L116" s="3">
        <f t="shared" ref="L116" si="78">ROUND(L117*$C$2,1)</f>
        <v>8610</v>
      </c>
      <c r="M116" s="3">
        <f t="shared" ref="M116" si="79">ROUND(M117*$C$2,1)</f>
        <v>12600</v>
      </c>
      <c r="N116" s="3">
        <f t="shared" ref="N116" si="80">ROUND(N117*$C$2,1)</f>
        <v>14400</v>
      </c>
      <c r="O116" s="3">
        <f t="shared" ref="O116" si="81">ROUND(O117*$C$2,1)</f>
        <v>12810</v>
      </c>
      <c r="P116" s="3">
        <f t="shared" ref="P116" si="82">ROUND(P117*$C$2,1)</f>
        <v>15810</v>
      </c>
      <c r="Q116" s="13">
        <f>ROUND(Q117*$C$2,1)</f>
        <v>11790</v>
      </c>
      <c r="R116" s="34">
        <f>ROUND(R117*$C$2,1)</f>
        <v>8010</v>
      </c>
    </row>
    <row r="117" spans="1:20" x14ac:dyDescent="0.35">
      <c r="B117" t="s">
        <v>66</v>
      </c>
      <c r="C117" s="10">
        <v>333</v>
      </c>
      <c r="D117">
        <v>437</v>
      </c>
      <c r="E117" s="11">
        <v>230</v>
      </c>
      <c r="F117" s="10">
        <v>253</v>
      </c>
      <c r="G117">
        <v>280</v>
      </c>
      <c r="H117">
        <v>340</v>
      </c>
      <c r="I117">
        <v>300</v>
      </c>
      <c r="J117">
        <v>393</v>
      </c>
      <c r="K117">
        <v>233</v>
      </c>
      <c r="L117">
        <v>287</v>
      </c>
      <c r="M117">
        <v>420</v>
      </c>
      <c r="N117">
        <v>480</v>
      </c>
      <c r="O117">
        <v>427</v>
      </c>
      <c r="P117">
        <v>527</v>
      </c>
      <c r="Q117" s="11">
        <v>393</v>
      </c>
      <c r="R117" s="20">
        <v>267</v>
      </c>
      <c r="T117" s="6"/>
    </row>
    <row r="118" spans="1:20" x14ac:dyDescent="0.35">
      <c r="A118" t="s">
        <v>36</v>
      </c>
      <c r="B118" t="s">
        <v>66</v>
      </c>
      <c r="C118" s="10">
        <v>300</v>
      </c>
      <c r="D118">
        <v>400</v>
      </c>
      <c r="E118" s="11">
        <v>200</v>
      </c>
      <c r="F118" s="10"/>
      <c r="Q118" s="11"/>
      <c r="R118" s="20"/>
    </row>
    <row r="119" spans="1:20" x14ac:dyDescent="0.35">
      <c r="A119" t="s">
        <v>37</v>
      </c>
      <c r="B119" t="s">
        <v>66</v>
      </c>
      <c r="C119" s="10">
        <f>C118-C117</f>
        <v>-33</v>
      </c>
      <c r="D119">
        <f>D118-D117</f>
        <v>-37</v>
      </c>
      <c r="E119" s="11">
        <f>E118-E117</f>
        <v>-30</v>
      </c>
      <c r="F119" s="10"/>
      <c r="Q119" s="11"/>
      <c r="R119" s="20"/>
    </row>
    <row r="120" spans="1:20" x14ac:dyDescent="0.35">
      <c r="A120" t="s">
        <v>38</v>
      </c>
      <c r="B120" t="s">
        <v>66</v>
      </c>
      <c r="C120" s="10">
        <f>C119</f>
        <v>-33</v>
      </c>
      <c r="D120">
        <f>SUM($C119:D119)</f>
        <v>-70</v>
      </c>
      <c r="E120" s="11">
        <f>SUM($C119:E119)</f>
        <v>-100</v>
      </c>
      <c r="F120" s="10"/>
      <c r="Q120" s="11"/>
      <c r="R120" s="20"/>
    </row>
    <row r="121" spans="1:20" x14ac:dyDescent="0.35">
      <c r="C121" s="10"/>
      <c r="E121" s="11"/>
      <c r="F121" s="10"/>
      <c r="Q121" s="11"/>
      <c r="R121" s="20"/>
    </row>
    <row r="122" spans="1:20" x14ac:dyDescent="0.35">
      <c r="A122" s="1" t="s">
        <v>0</v>
      </c>
      <c r="C122" s="10"/>
      <c r="E122" s="11"/>
      <c r="F122" s="10"/>
      <c r="Q122" s="11"/>
      <c r="R122" s="20"/>
    </row>
    <row r="123" spans="1:20" x14ac:dyDescent="0.35">
      <c r="A123" t="s">
        <v>39</v>
      </c>
      <c r="B123" t="s">
        <v>66</v>
      </c>
      <c r="C123" s="10">
        <f>C117</f>
        <v>333</v>
      </c>
      <c r="D123">
        <f>D117</f>
        <v>437</v>
      </c>
      <c r="E123" s="11">
        <f>E117</f>
        <v>230</v>
      </c>
      <c r="F123" s="29">
        <f>F124*$C$3*F125/1000</f>
        <v>344.42386831275718</v>
      </c>
      <c r="G123" s="5">
        <f t="shared" ref="G123:Q123" si="83">G124*$C$3*G125/1000</f>
        <v>361.64506172839504</v>
      </c>
      <c r="H123" s="5">
        <f t="shared" si="83"/>
        <v>396.08744855967075</v>
      </c>
      <c r="I123" s="5">
        <f t="shared" si="83"/>
        <v>344.42386831275718</v>
      </c>
      <c r="J123" s="5">
        <f t="shared" si="83"/>
        <v>378.86625514403289</v>
      </c>
      <c r="K123" s="5">
        <f t="shared" si="83"/>
        <v>378.86625514403289</v>
      </c>
      <c r="L123" s="5">
        <f t="shared" si="83"/>
        <v>172.21193415637859</v>
      </c>
      <c r="M123" s="5">
        <f t="shared" si="83"/>
        <v>396.08744855967075</v>
      </c>
      <c r="N123" s="5">
        <f t="shared" si="83"/>
        <v>344.42386831275718</v>
      </c>
      <c r="O123" s="5">
        <f t="shared" si="83"/>
        <v>378.86625514403289</v>
      </c>
      <c r="P123" s="5">
        <f t="shared" si="83"/>
        <v>344.42386831275718</v>
      </c>
      <c r="Q123" s="5">
        <f t="shared" si="83"/>
        <v>344.42386831275718</v>
      </c>
      <c r="R123" s="20"/>
    </row>
    <row r="124" spans="1:20" x14ac:dyDescent="0.35">
      <c r="A124" t="s">
        <v>40</v>
      </c>
      <c r="B124" t="s">
        <v>68</v>
      </c>
      <c r="C124" s="12">
        <f>C123*1000/C125/$C$3</f>
        <v>1892.0454545454545</v>
      </c>
      <c r="D124" s="3">
        <f t="shared" ref="D124" si="84">D123*1000/D125/$C$3</f>
        <v>2731.25</v>
      </c>
      <c r="E124" s="13">
        <f t="shared" ref="E124" si="85">E123*1000/E125/$C$3</f>
        <v>1437.5</v>
      </c>
      <c r="F124" s="29">
        <f>$D$109</f>
        <v>2152.6491769547324</v>
      </c>
      <c r="G124" s="5">
        <f t="shared" ref="G124:Q124" si="86">$D$109</f>
        <v>2152.6491769547324</v>
      </c>
      <c r="H124" s="5">
        <f t="shared" si="86"/>
        <v>2152.6491769547324</v>
      </c>
      <c r="I124" s="5">
        <f t="shared" si="86"/>
        <v>2152.6491769547324</v>
      </c>
      <c r="J124" s="5">
        <f t="shared" si="86"/>
        <v>2152.6491769547324</v>
      </c>
      <c r="K124" s="5">
        <f t="shared" si="86"/>
        <v>2152.6491769547324</v>
      </c>
      <c r="L124" s="5">
        <f t="shared" si="86"/>
        <v>2152.6491769547324</v>
      </c>
      <c r="M124" s="5">
        <f t="shared" si="86"/>
        <v>2152.6491769547324</v>
      </c>
      <c r="N124" s="5">
        <f t="shared" si="86"/>
        <v>2152.6491769547324</v>
      </c>
      <c r="O124" s="5">
        <f t="shared" si="86"/>
        <v>2152.6491769547324</v>
      </c>
      <c r="P124" s="5">
        <f t="shared" si="86"/>
        <v>2152.6491769547324</v>
      </c>
      <c r="Q124" s="5">
        <f t="shared" si="86"/>
        <v>2152.6491769547324</v>
      </c>
      <c r="R124" s="20"/>
    </row>
    <row r="125" spans="1:20" x14ac:dyDescent="0.35">
      <c r="A125" t="s">
        <v>41</v>
      </c>
      <c r="B125" t="s">
        <v>67</v>
      </c>
      <c r="C125" s="10">
        <v>22</v>
      </c>
      <c r="D125">
        <v>20</v>
      </c>
      <c r="E125" s="11">
        <v>20</v>
      </c>
      <c r="F125" s="10">
        <v>20</v>
      </c>
      <c r="G125">
        <v>21</v>
      </c>
      <c r="H125">
        <v>23</v>
      </c>
      <c r="I125">
        <v>20</v>
      </c>
      <c r="J125">
        <v>22</v>
      </c>
      <c r="K125">
        <v>22</v>
      </c>
      <c r="L125">
        <v>10</v>
      </c>
      <c r="M125">
        <v>23</v>
      </c>
      <c r="N125">
        <v>20</v>
      </c>
      <c r="O125">
        <v>22</v>
      </c>
      <c r="P125">
        <v>20</v>
      </c>
      <c r="Q125" s="11">
        <v>20</v>
      </c>
      <c r="R125" s="20">
        <v>20</v>
      </c>
    </row>
    <row r="126" spans="1:20" x14ac:dyDescent="0.35">
      <c r="A126" t="s">
        <v>42</v>
      </c>
      <c r="B126" t="s">
        <v>66</v>
      </c>
      <c r="C126" s="10">
        <v>360</v>
      </c>
      <c r="D126">
        <v>455</v>
      </c>
      <c r="E126" s="11">
        <v>300</v>
      </c>
      <c r="F126" s="10"/>
      <c r="Q126" s="11"/>
      <c r="R126" s="20"/>
    </row>
    <row r="127" spans="1:20" x14ac:dyDescent="0.35">
      <c r="A127" t="s">
        <v>37</v>
      </c>
      <c r="B127" t="s">
        <v>66</v>
      </c>
      <c r="C127" s="10">
        <f>C126-C123</f>
        <v>27</v>
      </c>
      <c r="D127">
        <f t="shared" ref="D127" si="87">D126-D123</f>
        <v>18</v>
      </c>
      <c r="E127" s="11">
        <f t="shared" ref="E127" si="88">E126-E123</f>
        <v>70</v>
      </c>
      <c r="F127" s="10"/>
      <c r="Q127" s="11"/>
      <c r="R127" s="20"/>
    </row>
    <row r="128" spans="1:20" x14ac:dyDescent="0.35">
      <c r="A128" t="s">
        <v>38</v>
      </c>
      <c r="B128" t="s">
        <v>66</v>
      </c>
      <c r="C128" s="10">
        <f>C127</f>
        <v>27</v>
      </c>
      <c r="D128">
        <f>SUM($C127:D127)</f>
        <v>45</v>
      </c>
      <c r="E128" s="11">
        <f>SUM($C127:E127)</f>
        <v>115</v>
      </c>
      <c r="F128" s="10"/>
      <c r="Q128" s="11"/>
      <c r="R128" s="20"/>
    </row>
    <row r="129" spans="1:18" x14ac:dyDescent="0.35">
      <c r="C129" s="10"/>
      <c r="E129" s="11"/>
      <c r="F129" s="10"/>
      <c r="Q129" s="11"/>
      <c r="R129" s="20"/>
    </row>
    <row r="130" spans="1:18" x14ac:dyDescent="0.35">
      <c r="A130" s="1" t="s">
        <v>45</v>
      </c>
      <c r="C130" s="10"/>
      <c r="E130" s="11"/>
      <c r="F130" s="10"/>
      <c r="Q130" s="11"/>
      <c r="R130" s="20"/>
    </row>
    <row r="131" spans="1:18" x14ac:dyDescent="0.35">
      <c r="A131" t="s">
        <v>43</v>
      </c>
      <c r="B131" t="s">
        <v>66</v>
      </c>
      <c r="C131" s="10">
        <f>$C$4+C123-C117</f>
        <v>0</v>
      </c>
      <c r="D131">
        <f>C131+D123-D117</f>
        <v>0</v>
      </c>
      <c r="E131" s="11">
        <f>D131+E123-E117</f>
        <v>0</v>
      </c>
      <c r="F131" s="41">
        <f>E133+F123-F117</f>
        <v>306.42386831275712</v>
      </c>
      <c r="G131" s="42">
        <f>F131+G123-G117</f>
        <v>388.06893004115216</v>
      </c>
      <c r="H131" s="42">
        <f t="shared" ref="H131:P131" si="89">G131+H123-H117</f>
        <v>444.1563786008229</v>
      </c>
      <c r="I131" s="42">
        <f t="shared" si="89"/>
        <v>488.58024691358014</v>
      </c>
      <c r="J131" s="42">
        <f t="shared" si="89"/>
        <v>474.44650205761309</v>
      </c>
      <c r="K131" s="42">
        <f t="shared" si="89"/>
        <v>620.31275720164604</v>
      </c>
      <c r="L131" s="42">
        <f t="shared" si="89"/>
        <v>505.5246913580246</v>
      </c>
      <c r="M131" s="42">
        <f t="shared" si="89"/>
        <v>481.61213991769534</v>
      </c>
      <c r="N131" s="42">
        <f t="shared" si="89"/>
        <v>346.03600823045258</v>
      </c>
      <c r="O131" s="42">
        <f t="shared" si="89"/>
        <v>297.90226337448553</v>
      </c>
      <c r="P131" s="42">
        <f t="shared" si="89"/>
        <v>115.32613168724265</v>
      </c>
      <c r="Q131" s="42">
        <f>Q134*(R117/R125)</f>
        <v>66.75</v>
      </c>
      <c r="R131" s="20"/>
    </row>
    <row r="132" spans="1:18" x14ac:dyDescent="0.35">
      <c r="B132" t="s">
        <v>7</v>
      </c>
      <c r="C132" s="10">
        <f>C131*$C$2</f>
        <v>0</v>
      </c>
      <c r="D132">
        <f t="shared" ref="D132" si="90">D131*$C$2</f>
        <v>0</v>
      </c>
      <c r="E132" s="11">
        <f t="shared" ref="E132" si="91">E131*$C$2</f>
        <v>0</v>
      </c>
      <c r="F132" s="12">
        <f>F131*$C$2</f>
        <v>9192.7160493827141</v>
      </c>
      <c r="G132" s="3">
        <f>G131*$C$2</f>
        <v>11642.067901234564</v>
      </c>
      <c r="H132" s="3">
        <f t="shared" ref="H132:Q132" si="92">H131*$C$2</f>
        <v>13324.691358024687</v>
      </c>
      <c r="I132" s="3">
        <f t="shared" si="92"/>
        <v>14657.407407407405</v>
      </c>
      <c r="J132" s="3">
        <f t="shared" si="92"/>
        <v>14233.395061728392</v>
      </c>
      <c r="K132" s="3">
        <f t="shared" si="92"/>
        <v>18609.382716049382</v>
      </c>
      <c r="L132" s="3">
        <f t="shared" si="92"/>
        <v>15165.740740740737</v>
      </c>
      <c r="M132" s="3">
        <f t="shared" si="92"/>
        <v>14448.36419753086</v>
      </c>
      <c r="N132" s="3">
        <f t="shared" si="92"/>
        <v>10381.080246913578</v>
      </c>
      <c r="O132" s="3">
        <f t="shared" si="92"/>
        <v>8937.0679012345663</v>
      </c>
      <c r="P132" s="3">
        <f t="shared" si="92"/>
        <v>3459.7839506172795</v>
      </c>
      <c r="Q132" s="3">
        <f t="shared" si="92"/>
        <v>2002.5</v>
      </c>
      <c r="R132" s="20"/>
    </row>
    <row r="133" spans="1:18" x14ac:dyDescent="0.35">
      <c r="A133" t="s">
        <v>44</v>
      </c>
      <c r="B133" t="s">
        <v>66</v>
      </c>
      <c r="C133" s="10">
        <f>$C$4+C126-C118</f>
        <v>60</v>
      </c>
      <c r="D133">
        <f>C133+D126-D118</f>
        <v>115</v>
      </c>
      <c r="E133" s="11">
        <f>D133+E126-E118</f>
        <v>215</v>
      </c>
      <c r="F133" s="10"/>
      <c r="Q133" s="11"/>
      <c r="R133" s="20"/>
    </row>
    <row r="134" spans="1:18" ht="15" thickBot="1" x14ac:dyDescent="0.4">
      <c r="A134" t="s">
        <v>46</v>
      </c>
      <c r="B134" t="s">
        <v>69</v>
      </c>
      <c r="C134" s="14">
        <f>C133/(D118/D125)</f>
        <v>3</v>
      </c>
      <c r="D134" s="15">
        <f>D133/(E118/E125)</f>
        <v>11.5</v>
      </c>
      <c r="E134" s="16">
        <f>E133/(F117/F125)</f>
        <v>16.996047430830039</v>
      </c>
      <c r="F134" s="18">
        <f>F131/(G117/G125)</f>
        <v>22.981790123456783</v>
      </c>
      <c r="G134" s="54">
        <f t="shared" ref="G134:Q134" si="93">G131/(H117/H125)</f>
        <v>26.25172173807794</v>
      </c>
      <c r="H134" s="54">
        <f t="shared" si="93"/>
        <v>29.610425240054859</v>
      </c>
      <c r="I134" s="54">
        <f t="shared" si="93"/>
        <v>27.350548173279297</v>
      </c>
      <c r="J134" s="54">
        <f t="shared" si="93"/>
        <v>44.797523799431275</v>
      </c>
      <c r="K134" s="54">
        <f t="shared" si="93"/>
        <v>21.613684919917979</v>
      </c>
      <c r="L134" s="54">
        <f t="shared" si="93"/>
        <v>27.683495002939445</v>
      </c>
      <c r="M134" s="54">
        <f t="shared" si="93"/>
        <v>20.067172496570638</v>
      </c>
      <c r="N134" s="54">
        <f t="shared" si="93"/>
        <v>17.828553117259851</v>
      </c>
      <c r="O134" s="54">
        <f t="shared" si="93"/>
        <v>11.305588742864725</v>
      </c>
      <c r="P134" s="54">
        <f t="shared" si="93"/>
        <v>5.8690143352286341</v>
      </c>
      <c r="Q134" s="17">
        <v>5</v>
      </c>
      <c r="R134" s="21"/>
    </row>
    <row r="135" spans="1:18" ht="15" thickBot="1" x14ac:dyDescent="0.4">
      <c r="A135" t="s">
        <v>47</v>
      </c>
      <c r="C135" s="50">
        <v>98</v>
      </c>
      <c r="D135" s="51">
        <v>100</v>
      </c>
      <c r="E135" s="52">
        <v>100</v>
      </c>
    </row>
    <row r="138" spans="1:18" ht="15" thickBot="1" x14ac:dyDescent="0.4"/>
    <row r="139" spans="1:18" x14ac:dyDescent="0.35">
      <c r="E139" s="19" t="s">
        <v>49</v>
      </c>
      <c r="F139" s="47">
        <f>MAX(F124-$C$8,0)</f>
        <v>715.64917695473241</v>
      </c>
      <c r="G139" s="27">
        <f>MAX(G124-F141,0)</f>
        <v>0</v>
      </c>
      <c r="H139" s="27">
        <f t="shared" ref="H139:Q139" si="94">MAX(H124-G141,0)</f>
        <v>0</v>
      </c>
      <c r="I139" s="27">
        <f t="shared" si="94"/>
        <v>0</v>
      </c>
      <c r="J139" s="27">
        <f t="shared" si="94"/>
        <v>0</v>
      </c>
      <c r="K139" s="27">
        <f t="shared" si="94"/>
        <v>0</v>
      </c>
      <c r="L139" s="27">
        <f t="shared" si="94"/>
        <v>0</v>
      </c>
      <c r="M139" s="27">
        <f t="shared" si="94"/>
        <v>0</v>
      </c>
      <c r="N139" s="27">
        <f t="shared" si="94"/>
        <v>0</v>
      </c>
      <c r="O139" s="27">
        <f t="shared" si="94"/>
        <v>0</v>
      </c>
      <c r="P139" s="27">
        <f t="shared" si="94"/>
        <v>0</v>
      </c>
      <c r="Q139" s="28">
        <f t="shared" si="94"/>
        <v>0</v>
      </c>
    </row>
    <row r="140" spans="1:18" x14ac:dyDescent="0.35">
      <c r="E140" s="20" t="s">
        <v>50</v>
      </c>
      <c r="F140" s="12">
        <f>MAX($C$8-F124,0)</f>
        <v>0</v>
      </c>
      <c r="G140" s="30">
        <f>MAX(F141-G124,0)</f>
        <v>0</v>
      </c>
      <c r="H140" s="30">
        <f t="shared" ref="H140:Q140" si="95">MAX(G141-H124,0)</f>
        <v>0</v>
      </c>
      <c r="I140" s="30">
        <f t="shared" si="95"/>
        <v>0</v>
      </c>
      <c r="J140" s="30">
        <f t="shared" si="95"/>
        <v>0</v>
      </c>
      <c r="K140" s="30">
        <f t="shared" si="95"/>
        <v>0</v>
      </c>
      <c r="L140" s="30">
        <f t="shared" si="95"/>
        <v>0</v>
      </c>
      <c r="M140" s="30">
        <f t="shared" si="95"/>
        <v>0</v>
      </c>
      <c r="N140" s="30">
        <f t="shared" si="95"/>
        <v>0</v>
      </c>
      <c r="O140" s="30">
        <f t="shared" si="95"/>
        <v>0</v>
      </c>
      <c r="P140" s="30">
        <f t="shared" si="95"/>
        <v>0</v>
      </c>
      <c r="Q140" s="31">
        <f t="shared" si="95"/>
        <v>0</v>
      </c>
    </row>
    <row r="141" spans="1:18" ht="15" thickBot="1" x14ac:dyDescent="0.4">
      <c r="E141" s="21" t="s">
        <v>48</v>
      </c>
      <c r="F141" s="48">
        <f>$C$8+F139-F140</f>
        <v>2152.6491769547324</v>
      </c>
      <c r="G141" s="32">
        <f>F141+G139-G140</f>
        <v>2152.6491769547324</v>
      </c>
      <c r="H141" s="32">
        <f t="shared" ref="H141" si="96">G141+H139-H140</f>
        <v>2152.6491769547324</v>
      </c>
      <c r="I141" s="32">
        <f t="shared" ref="I141" si="97">H141+I139-I140</f>
        <v>2152.6491769547324</v>
      </c>
      <c r="J141" s="32">
        <f t="shared" ref="J141" si="98">I141+J139-J140</f>
        <v>2152.6491769547324</v>
      </c>
      <c r="K141" s="32">
        <f t="shared" ref="K141" si="99">J141+K139-K140</f>
        <v>2152.6491769547324</v>
      </c>
      <c r="L141" s="32">
        <f t="shared" ref="L141" si="100">K141+L139-L140</f>
        <v>2152.6491769547324</v>
      </c>
      <c r="M141" s="32">
        <f t="shared" ref="M141" si="101">L141+M139-M140</f>
        <v>2152.6491769547324</v>
      </c>
      <c r="N141" s="32">
        <f t="shared" ref="N141" si="102">M141+N139-N140</f>
        <v>2152.6491769547324</v>
      </c>
      <c r="O141" s="32">
        <f t="shared" ref="O141" si="103">N141+O139-O140</f>
        <v>2152.6491769547324</v>
      </c>
      <c r="P141" s="32">
        <f t="shared" ref="P141" si="104">O141+P139-P140</f>
        <v>2152.6491769547324</v>
      </c>
      <c r="Q141" s="33">
        <f t="shared" ref="Q141" si="105">P141+Q139-Q140</f>
        <v>2152.6491769547324</v>
      </c>
    </row>
    <row r="143" spans="1:18" ht="15" thickBot="1" x14ac:dyDescent="0.4">
      <c r="E143" t="s">
        <v>59</v>
      </c>
      <c r="R143" s="8" t="s">
        <v>60</v>
      </c>
    </row>
    <row r="144" spans="1:18" x14ac:dyDescent="0.35">
      <c r="E144" s="19" t="s">
        <v>49</v>
      </c>
      <c r="F144" s="27">
        <f t="shared" ref="F144:Q144" si="106">F139*$C$6</f>
        <v>143.12983539094648</v>
      </c>
      <c r="G144" s="27">
        <f t="shared" si="106"/>
        <v>0</v>
      </c>
      <c r="H144" s="27">
        <f t="shared" si="106"/>
        <v>0</v>
      </c>
      <c r="I144" s="27">
        <f t="shared" si="106"/>
        <v>0</v>
      </c>
      <c r="J144" s="27">
        <f t="shared" si="106"/>
        <v>0</v>
      </c>
      <c r="K144" s="27">
        <f t="shared" si="106"/>
        <v>0</v>
      </c>
      <c r="L144" s="27">
        <f t="shared" si="106"/>
        <v>0</v>
      </c>
      <c r="M144" s="27">
        <f t="shared" si="106"/>
        <v>0</v>
      </c>
      <c r="N144" s="27">
        <f t="shared" si="106"/>
        <v>0</v>
      </c>
      <c r="O144" s="27">
        <f t="shared" si="106"/>
        <v>0</v>
      </c>
      <c r="P144" s="27">
        <f t="shared" si="106"/>
        <v>0</v>
      </c>
      <c r="Q144" s="28">
        <f t="shared" si="106"/>
        <v>0</v>
      </c>
      <c r="R144" s="37">
        <f>SUM(F144:Q144)</f>
        <v>143.12983539094648</v>
      </c>
    </row>
    <row r="145" spans="1:18" x14ac:dyDescent="0.35">
      <c r="E145" s="20" t="s">
        <v>50</v>
      </c>
      <c r="F145" s="30">
        <f>F140*$C$7</f>
        <v>0</v>
      </c>
      <c r="G145" s="30">
        <f t="shared" ref="G145:Q145" si="107">G140*$C$7</f>
        <v>0</v>
      </c>
      <c r="H145" s="30">
        <f t="shared" si="107"/>
        <v>0</v>
      </c>
      <c r="I145" s="30">
        <f t="shared" si="107"/>
        <v>0</v>
      </c>
      <c r="J145" s="30">
        <f t="shared" si="107"/>
        <v>0</v>
      </c>
      <c r="K145" s="30">
        <f t="shared" si="107"/>
        <v>0</v>
      </c>
      <c r="L145" s="30">
        <f t="shared" si="107"/>
        <v>0</v>
      </c>
      <c r="M145" s="30">
        <f t="shared" si="107"/>
        <v>0</v>
      </c>
      <c r="N145" s="30">
        <f t="shared" si="107"/>
        <v>0</v>
      </c>
      <c r="O145" s="30">
        <f t="shared" si="107"/>
        <v>0</v>
      </c>
      <c r="P145" s="30">
        <f t="shared" si="107"/>
        <v>0</v>
      </c>
      <c r="Q145" s="31">
        <f t="shared" si="107"/>
        <v>0</v>
      </c>
      <c r="R145" s="38">
        <f t="shared" ref="R145:R146" si="108">SUM(F145:Q145)</f>
        <v>0</v>
      </c>
    </row>
    <row r="146" spans="1:18" ht="15" thickBot="1" x14ac:dyDescent="0.4">
      <c r="E146" s="21" t="s">
        <v>8</v>
      </c>
      <c r="F146" s="32">
        <f>F131*$C$2*$C$5</f>
        <v>183.85432098765429</v>
      </c>
      <c r="G146" s="32">
        <f>G131*$C$2*$C$5</f>
        <v>232.84135802469129</v>
      </c>
      <c r="H146" s="32">
        <f t="shared" ref="H146:P146" si="109">H131*$C$2*$C$5</f>
        <v>266.49382716049377</v>
      </c>
      <c r="I146" s="32">
        <f t="shared" si="109"/>
        <v>293.1481481481481</v>
      </c>
      <c r="J146" s="32">
        <f t="shared" si="109"/>
        <v>284.66790123456786</v>
      </c>
      <c r="K146" s="32">
        <f t="shared" si="109"/>
        <v>372.18765432098763</v>
      </c>
      <c r="L146" s="32">
        <f t="shared" si="109"/>
        <v>303.31481481481472</v>
      </c>
      <c r="M146" s="32">
        <f t="shared" si="109"/>
        <v>288.96728395061723</v>
      </c>
      <c r="N146" s="32">
        <f t="shared" si="109"/>
        <v>207.62160493827156</v>
      </c>
      <c r="O146" s="32">
        <f t="shared" si="109"/>
        <v>178.74135802469132</v>
      </c>
      <c r="P146" s="32">
        <f t="shared" si="109"/>
        <v>69.195679012345593</v>
      </c>
      <c r="Q146" s="33">
        <f>Q131*$C$2*$C$5</f>
        <v>40.050000000000004</v>
      </c>
      <c r="R146" s="39">
        <f t="shared" si="108"/>
        <v>2721.0839506172833</v>
      </c>
    </row>
    <row r="147" spans="1:18" x14ac:dyDescent="0.35">
      <c r="Q147" s="9" t="s">
        <v>61</v>
      </c>
      <c r="R147" s="40">
        <f>SUM(R144:R146)</f>
        <v>2864.2137860082298</v>
      </c>
    </row>
    <row r="148" spans="1:18" ht="15" thickBot="1" x14ac:dyDescent="0.4"/>
    <row r="149" spans="1:18" x14ac:dyDescent="0.35">
      <c r="A149" s="67" t="s">
        <v>63</v>
      </c>
      <c r="B149" s="68" t="s">
        <v>66</v>
      </c>
      <c r="C149" s="67"/>
      <c r="D149" s="69"/>
      <c r="E149" s="68">
        <v>0</v>
      </c>
      <c r="F149" s="47">
        <f t="shared" ref="F149:Q149" si="110">F123+F131</f>
        <v>650.84773662551424</v>
      </c>
      <c r="G149" s="27">
        <f t="shared" si="110"/>
        <v>749.71399176954719</v>
      </c>
      <c r="H149" s="27">
        <f t="shared" si="110"/>
        <v>840.24382716049365</v>
      </c>
      <c r="I149" s="27">
        <f t="shared" si="110"/>
        <v>833.00411522633726</v>
      </c>
      <c r="J149" s="27">
        <f t="shared" si="110"/>
        <v>853.31275720164604</v>
      </c>
      <c r="K149" s="27">
        <f t="shared" si="110"/>
        <v>999.17901234567898</v>
      </c>
      <c r="L149" s="27">
        <f t="shared" si="110"/>
        <v>677.73662551440316</v>
      </c>
      <c r="M149" s="27">
        <f t="shared" si="110"/>
        <v>877.69958847736609</v>
      </c>
      <c r="N149" s="27">
        <f t="shared" si="110"/>
        <v>690.4598765432097</v>
      </c>
      <c r="O149" s="27">
        <f t="shared" si="110"/>
        <v>676.76851851851848</v>
      </c>
      <c r="P149" s="27">
        <f t="shared" si="110"/>
        <v>459.74999999999983</v>
      </c>
      <c r="Q149" s="28">
        <f t="shared" si="110"/>
        <v>411.17386831275718</v>
      </c>
      <c r="R149" s="40"/>
    </row>
    <row r="150" spans="1:18" x14ac:dyDescent="0.35">
      <c r="A150" s="10" t="s">
        <v>64</v>
      </c>
      <c r="B150" s="11" t="s">
        <v>66</v>
      </c>
      <c r="C150" s="10"/>
      <c r="E150" s="11"/>
      <c r="F150" s="70">
        <f>SUM($F117:F117)</f>
        <v>253</v>
      </c>
      <c r="G150" s="30">
        <f>SUM($F117:G117)</f>
        <v>533</v>
      </c>
      <c r="H150" s="30">
        <f>SUM($F117:H117)</f>
        <v>873</v>
      </c>
      <c r="I150" s="30">
        <f>SUM($F117:I117)</f>
        <v>1173</v>
      </c>
      <c r="J150" s="30">
        <f>SUM($F117:J117)</f>
        <v>1566</v>
      </c>
      <c r="K150" s="30">
        <f>SUM($F117:K117)</f>
        <v>1799</v>
      </c>
      <c r="L150" s="30">
        <f>SUM($F117:L117)</f>
        <v>2086</v>
      </c>
      <c r="M150" s="30">
        <f>SUM($F117:M117)</f>
        <v>2506</v>
      </c>
      <c r="N150" s="30">
        <f>SUM($F117:N117)</f>
        <v>2986</v>
      </c>
      <c r="O150" s="30">
        <f>SUM($F117:O117)</f>
        <v>3413</v>
      </c>
      <c r="P150" s="30">
        <f>SUM($F117:P117)</f>
        <v>3940</v>
      </c>
      <c r="Q150" s="31">
        <f>SUM($F117:Q117)</f>
        <v>4333</v>
      </c>
    </row>
    <row r="151" spans="1:18" ht="15" thickBot="1" x14ac:dyDescent="0.4">
      <c r="A151" s="71" t="s">
        <v>65</v>
      </c>
      <c r="B151" s="72" t="s">
        <v>66</v>
      </c>
      <c r="C151" s="73"/>
      <c r="D151" s="74"/>
      <c r="E151" s="72">
        <f>$E133</f>
        <v>215</v>
      </c>
      <c r="F151" s="48">
        <f>SUM($F123:F123)+$E133</f>
        <v>559.42386831275712</v>
      </c>
      <c r="G151" s="32">
        <f>SUM($F123:G123)+$E133</f>
        <v>921.06893004115227</v>
      </c>
      <c r="H151" s="32">
        <f>SUM($F123:H123)+$E133</f>
        <v>1317.156378600823</v>
      </c>
      <c r="I151" s="32">
        <f>SUM($F123:I123)+$E133</f>
        <v>1661.5802469135801</v>
      </c>
      <c r="J151" s="32">
        <f>SUM($F123:J123)+$E133</f>
        <v>2040.4465020576131</v>
      </c>
      <c r="K151" s="32">
        <f>SUM($F123:K123)+$E133</f>
        <v>2419.312757201646</v>
      </c>
      <c r="L151" s="32">
        <f>SUM($F123:L123)+$E133</f>
        <v>2591.5246913580245</v>
      </c>
      <c r="M151" s="32">
        <f>SUM($F123:M123)+$E133</f>
        <v>2987.6121399176955</v>
      </c>
      <c r="N151" s="32">
        <f>SUM($F123:N123)+$E133</f>
        <v>3332.0360082304528</v>
      </c>
      <c r="O151" s="32">
        <f>SUM($F123:O123)+$E133</f>
        <v>3710.9022633744858</v>
      </c>
      <c r="P151" s="32">
        <f>SUM($F123:P123)+$E133</f>
        <v>4055.3261316872431</v>
      </c>
      <c r="Q151" s="33">
        <f>SUM($F123:Q123)+$E133</f>
        <v>4399.75</v>
      </c>
    </row>
    <row r="153" spans="1:18" x14ac:dyDescent="0.35">
      <c r="Q153" s="3"/>
    </row>
    <row r="158" spans="1:18" ht="21" x14ac:dyDescent="0.5">
      <c r="A158" s="84" t="s">
        <v>24</v>
      </c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</row>
    <row r="159" spans="1:18" ht="15" thickBot="1" x14ac:dyDescent="0.4"/>
    <row r="160" spans="1:18" x14ac:dyDescent="0.35">
      <c r="C160" s="81" t="s">
        <v>51</v>
      </c>
      <c r="D160" s="82"/>
      <c r="E160" s="83"/>
      <c r="F160" s="81" t="s">
        <v>43</v>
      </c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3"/>
      <c r="R160" s="22" t="s">
        <v>9</v>
      </c>
    </row>
    <row r="161" spans="1:18" x14ac:dyDescent="0.35">
      <c r="C161" s="24" t="s">
        <v>1</v>
      </c>
      <c r="D161" s="23" t="s">
        <v>2</v>
      </c>
      <c r="E161" s="25" t="s">
        <v>3</v>
      </c>
      <c r="F161" s="24" t="s">
        <v>4</v>
      </c>
      <c r="G161" s="23" t="s">
        <v>52</v>
      </c>
      <c r="H161" s="23" t="s">
        <v>53</v>
      </c>
      <c r="I161" s="23" t="s">
        <v>54</v>
      </c>
      <c r="J161" s="23" t="s">
        <v>55</v>
      </c>
      <c r="K161" s="23" t="s">
        <v>5</v>
      </c>
      <c r="L161" s="23" t="s">
        <v>56</v>
      </c>
      <c r="M161" s="23" t="s">
        <v>57</v>
      </c>
      <c r="N161" s="23" t="s">
        <v>58</v>
      </c>
      <c r="O161" s="23" t="s">
        <v>1</v>
      </c>
      <c r="P161" s="23" t="s">
        <v>6</v>
      </c>
      <c r="Q161" s="25" t="s">
        <v>3</v>
      </c>
      <c r="R161" s="26" t="s">
        <v>4</v>
      </c>
    </row>
    <row r="162" spans="1:18" x14ac:dyDescent="0.35">
      <c r="B162" s="7" t="s">
        <v>11</v>
      </c>
      <c r="C162" s="43">
        <v>1</v>
      </c>
      <c r="D162" s="44">
        <v>2</v>
      </c>
      <c r="E162" s="45">
        <v>3</v>
      </c>
      <c r="F162" s="43">
        <v>4</v>
      </c>
      <c r="G162" s="44">
        <v>5</v>
      </c>
      <c r="H162" s="44">
        <v>6</v>
      </c>
      <c r="I162" s="44">
        <v>7</v>
      </c>
      <c r="J162" s="44">
        <v>8</v>
      </c>
      <c r="K162" s="44">
        <v>9</v>
      </c>
      <c r="L162" s="44">
        <v>10</v>
      </c>
      <c r="M162" s="44">
        <v>11</v>
      </c>
      <c r="N162" s="44">
        <v>12</v>
      </c>
      <c r="O162" s="44">
        <v>13</v>
      </c>
      <c r="P162" s="44">
        <v>14</v>
      </c>
      <c r="Q162" s="44">
        <v>15</v>
      </c>
      <c r="R162" s="46"/>
    </row>
    <row r="163" spans="1:18" x14ac:dyDescent="0.35">
      <c r="B163" s="7" t="s">
        <v>12</v>
      </c>
      <c r="C163" s="43">
        <v>-3</v>
      </c>
      <c r="D163" s="44">
        <v>-2</v>
      </c>
      <c r="E163" s="45">
        <v>-1</v>
      </c>
      <c r="F163" s="43">
        <v>1</v>
      </c>
      <c r="G163" s="44">
        <v>2</v>
      </c>
      <c r="H163" s="44">
        <v>3</v>
      </c>
      <c r="I163" s="44">
        <v>4</v>
      </c>
      <c r="J163" s="44">
        <v>5</v>
      </c>
      <c r="K163" s="44">
        <v>6</v>
      </c>
      <c r="L163" s="44">
        <v>7</v>
      </c>
      <c r="M163" s="44">
        <v>8</v>
      </c>
      <c r="N163" s="44">
        <v>9</v>
      </c>
      <c r="O163" s="44">
        <v>10</v>
      </c>
      <c r="P163" s="44">
        <v>11</v>
      </c>
      <c r="Q163" s="44">
        <v>12</v>
      </c>
      <c r="R163" s="46"/>
    </row>
    <row r="164" spans="1:18" x14ac:dyDescent="0.35">
      <c r="A164" s="1" t="s">
        <v>35</v>
      </c>
      <c r="B164" s="2"/>
      <c r="C164" s="10"/>
      <c r="E164" s="11"/>
      <c r="F164" s="10"/>
      <c r="Q164" s="11"/>
      <c r="R164" s="20"/>
    </row>
    <row r="165" spans="1:18" x14ac:dyDescent="0.35">
      <c r="A165" t="s">
        <v>34</v>
      </c>
      <c r="B165" t="s">
        <v>10</v>
      </c>
      <c r="C165" s="12">
        <f>ROUND(C166*$C$2,1)</f>
        <v>9990</v>
      </c>
      <c r="D165" s="3">
        <f>ROUND(D166*$C$2,1)</f>
        <v>13110</v>
      </c>
      <c r="E165" s="13">
        <f>ROUND(E166*$C$2,1)</f>
        <v>6900</v>
      </c>
      <c r="F165" s="12">
        <f>ROUND(F166*$C$2,1)</f>
        <v>7590</v>
      </c>
      <c r="G165" s="3">
        <f>ROUND(G166*$C$2,1)</f>
        <v>8400</v>
      </c>
      <c r="H165" s="3">
        <f t="shared" ref="H165" si="111">ROUND(H166*$C$2,1)</f>
        <v>10200</v>
      </c>
      <c r="I165" s="3">
        <f t="shared" ref="I165" si="112">ROUND(I166*$C$2,1)</f>
        <v>9000</v>
      </c>
      <c r="J165" s="3">
        <f t="shared" ref="J165" si="113">ROUND(J166*$C$2,1)</f>
        <v>11790</v>
      </c>
      <c r="K165" s="3">
        <f t="shared" ref="K165" si="114">ROUND(K166*$C$2,1)</f>
        <v>6990</v>
      </c>
      <c r="L165" s="3">
        <f t="shared" ref="L165" si="115">ROUND(L166*$C$2,1)</f>
        <v>8610</v>
      </c>
      <c r="M165" s="3">
        <f t="shared" ref="M165" si="116">ROUND(M166*$C$2,1)</f>
        <v>12600</v>
      </c>
      <c r="N165" s="3">
        <f t="shared" ref="N165" si="117">ROUND(N166*$C$2,1)</f>
        <v>14400</v>
      </c>
      <c r="O165" s="3">
        <f t="shared" ref="O165" si="118">ROUND(O166*$C$2,1)</f>
        <v>12810</v>
      </c>
      <c r="P165" s="3">
        <f t="shared" ref="P165" si="119">ROUND(P166*$C$2,1)</f>
        <v>15810</v>
      </c>
      <c r="Q165" s="13">
        <f>ROUND(Q166*$C$2,1)</f>
        <v>11790</v>
      </c>
      <c r="R165" s="34">
        <f>ROUND(R166*$C$2,1)</f>
        <v>8010</v>
      </c>
    </row>
    <row r="166" spans="1:18" x14ac:dyDescent="0.35">
      <c r="B166" t="s">
        <v>66</v>
      </c>
      <c r="C166" s="10">
        <v>333</v>
      </c>
      <c r="D166">
        <v>437</v>
      </c>
      <c r="E166" s="11">
        <v>230</v>
      </c>
      <c r="F166" s="10">
        <v>253</v>
      </c>
      <c r="G166">
        <v>280</v>
      </c>
      <c r="H166">
        <v>340</v>
      </c>
      <c r="I166">
        <v>300</v>
      </c>
      <c r="J166">
        <v>393</v>
      </c>
      <c r="K166">
        <v>233</v>
      </c>
      <c r="L166">
        <v>287</v>
      </c>
      <c r="M166">
        <v>420</v>
      </c>
      <c r="N166">
        <v>480</v>
      </c>
      <c r="O166">
        <v>427</v>
      </c>
      <c r="P166">
        <v>527</v>
      </c>
      <c r="Q166" s="11">
        <v>393</v>
      </c>
      <c r="R166" s="20">
        <v>267</v>
      </c>
    </row>
    <row r="167" spans="1:18" x14ac:dyDescent="0.35">
      <c r="A167" t="s">
        <v>36</v>
      </c>
      <c r="B167" t="s">
        <v>66</v>
      </c>
      <c r="C167" s="10">
        <v>300</v>
      </c>
      <c r="D167">
        <v>400</v>
      </c>
      <c r="E167" s="11">
        <v>200</v>
      </c>
      <c r="F167" s="10"/>
      <c r="Q167" s="11"/>
      <c r="R167" s="20"/>
    </row>
    <row r="168" spans="1:18" x14ac:dyDescent="0.35">
      <c r="A168" t="s">
        <v>37</v>
      </c>
      <c r="B168" t="s">
        <v>66</v>
      </c>
      <c r="C168" s="10">
        <f>C167-C166</f>
        <v>-33</v>
      </c>
      <c r="D168">
        <f>D167-D166</f>
        <v>-37</v>
      </c>
      <c r="E168" s="11">
        <f>E167-E166</f>
        <v>-30</v>
      </c>
      <c r="F168" s="10"/>
      <c r="Q168" s="11"/>
      <c r="R168" s="20"/>
    </row>
    <row r="169" spans="1:18" x14ac:dyDescent="0.35">
      <c r="A169" t="s">
        <v>38</v>
      </c>
      <c r="B169" t="s">
        <v>66</v>
      </c>
      <c r="C169" s="10">
        <f>C168</f>
        <v>-33</v>
      </c>
      <c r="D169">
        <f>SUM($C168:D168)</f>
        <v>-70</v>
      </c>
      <c r="E169" s="11">
        <f>SUM($C168:E168)</f>
        <v>-100</v>
      </c>
      <c r="F169" s="10"/>
      <c r="Q169" s="11"/>
      <c r="R169" s="20"/>
    </row>
    <row r="170" spans="1:18" x14ac:dyDescent="0.35">
      <c r="C170" s="10"/>
      <c r="E170" s="11"/>
      <c r="F170" s="10"/>
      <c r="Q170" s="11"/>
      <c r="R170" s="20"/>
    </row>
    <row r="171" spans="1:18" x14ac:dyDescent="0.35">
      <c r="A171" s="1" t="s">
        <v>0</v>
      </c>
      <c r="C171" s="10"/>
      <c r="E171" s="11"/>
      <c r="F171" s="10"/>
      <c r="Q171" s="11"/>
      <c r="R171" s="20"/>
    </row>
    <row r="172" spans="1:18" x14ac:dyDescent="0.35">
      <c r="A172" t="s">
        <v>39</v>
      </c>
      <c r="B172" t="s">
        <v>66</v>
      </c>
      <c r="C172" s="10">
        <f>C166</f>
        <v>333</v>
      </c>
      <c r="D172">
        <f>D166</f>
        <v>437</v>
      </c>
      <c r="E172" s="11">
        <f>E166</f>
        <v>230</v>
      </c>
      <c r="F172" s="80">
        <v>229</v>
      </c>
      <c r="G172" s="80">
        <v>240</v>
      </c>
      <c r="H172" s="80">
        <v>265</v>
      </c>
      <c r="I172" s="80">
        <v>319</v>
      </c>
      <c r="J172" s="80">
        <v>352</v>
      </c>
      <c r="K172" s="80">
        <v>362</v>
      </c>
      <c r="L172" s="80">
        <v>196</v>
      </c>
      <c r="M172" s="80">
        <v>451</v>
      </c>
      <c r="N172" s="80">
        <v>455</v>
      </c>
      <c r="O172" s="80">
        <v>500</v>
      </c>
      <c r="P172" s="80">
        <v>455</v>
      </c>
      <c r="Q172" s="80">
        <v>455</v>
      </c>
      <c r="R172" s="20"/>
    </row>
    <row r="173" spans="1:18" x14ac:dyDescent="0.35">
      <c r="A173" t="s">
        <v>40</v>
      </c>
      <c r="B173" t="s">
        <v>68</v>
      </c>
      <c r="C173" s="12">
        <f>C172*1000/C174/$C$3</f>
        <v>1892.0454545454545</v>
      </c>
      <c r="D173" s="3">
        <f t="shared" ref="D173" si="120">D172*1000/D174/$C$3</f>
        <v>2731.25</v>
      </c>
      <c r="E173" s="13">
        <f t="shared" ref="E173" si="121">E172*1000/E174/$C$3</f>
        <v>1437.5</v>
      </c>
      <c r="F173" s="12">
        <f t="shared" ref="F173" si="122">F172*1000/F174/$C$3</f>
        <v>1431.25</v>
      </c>
      <c r="G173" s="3">
        <f t="shared" ref="G173" si="123">G172*1000/G174/$C$3</f>
        <v>1428.5714285714287</v>
      </c>
      <c r="H173" s="3">
        <f t="shared" ref="H173" si="124">H172*1000/H174/$C$3</f>
        <v>1440.2173913043478</v>
      </c>
      <c r="I173" s="3">
        <f t="shared" ref="I173" si="125">I172*1000/I174/$C$3</f>
        <v>1993.75</v>
      </c>
      <c r="J173" s="3">
        <f t="shared" ref="J173" si="126">J172*1000/J174/$C$3</f>
        <v>2000</v>
      </c>
      <c r="K173" s="3">
        <f t="shared" ref="K173" si="127">K172*1000/K174/$C$3</f>
        <v>2056.818181818182</v>
      </c>
      <c r="L173" s="3">
        <f t="shared" ref="L173" si="128">L172*1000/L174/$C$3</f>
        <v>2450</v>
      </c>
      <c r="M173" s="3">
        <f t="shared" ref="M173" si="129">M172*1000/M174/$C$3</f>
        <v>2451.086956521739</v>
      </c>
      <c r="N173" s="3">
        <f t="shared" ref="N173" si="130">N172*1000/N174/$C$3</f>
        <v>2843.75</v>
      </c>
      <c r="O173" s="3">
        <f t="shared" ref="O173" si="131">O172*1000/O174/$C$3</f>
        <v>2840.909090909091</v>
      </c>
      <c r="P173" s="3">
        <f t="shared" ref="P173" si="132">P172*1000/P174/$C$3</f>
        <v>2843.75</v>
      </c>
      <c r="Q173" s="13">
        <f t="shared" ref="Q173" si="133">Q172*1000/Q174/$C$3</f>
        <v>2843.75</v>
      </c>
      <c r="R173" s="20"/>
    </row>
    <row r="174" spans="1:18" x14ac:dyDescent="0.35">
      <c r="A174" t="s">
        <v>41</v>
      </c>
      <c r="B174" t="s">
        <v>67</v>
      </c>
      <c r="C174" s="10">
        <v>22</v>
      </c>
      <c r="D174">
        <v>20</v>
      </c>
      <c r="E174" s="11">
        <v>20</v>
      </c>
      <c r="F174" s="10">
        <v>20</v>
      </c>
      <c r="G174">
        <v>21</v>
      </c>
      <c r="H174">
        <v>23</v>
      </c>
      <c r="I174">
        <v>20</v>
      </c>
      <c r="J174">
        <v>22</v>
      </c>
      <c r="K174">
        <v>22</v>
      </c>
      <c r="L174">
        <v>10</v>
      </c>
      <c r="M174">
        <v>23</v>
      </c>
      <c r="N174">
        <v>20</v>
      </c>
      <c r="O174">
        <v>22</v>
      </c>
      <c r="P174">
        <v>20</v>
      </c>
      <c r="Q174" s="11">
        <v>20</v>
      </c>
      <c r="R174" s="20">
        <v>20</v>
      </c>
    </row>
    <row r="175" spans="1:18" x14ac:dyDescent="0.35">
      <c r="A175" t="s">
        <v>42</v>
      </c>
      <c r="B175" t="s">
        <v>66</v>
      </c>
      <c r="C175" s="10">
        <v>360</v>
      </c>
      <c r="D175">
        <v>455</v>
      </c>
      <c r="E175" s="11">
        <v>300</v>
      </c>
      <c r="F175" s="10"/>
      <c r="Q175" s="11"/>
      <c r="R175" s="20"/>
    </row>
    <row r="176" spans="1:18" x14ac:dyDescent="0.35">
      <c r="A176" t="s">
        <v>37</v>
      </c>
      <c r="B176" t="s">
        <v>66</v>
      </c>
      <c r="C176" s="10">
        <f>C175-C172</f>
        <v>27</v>
      </c>
      <c r="D176">
        <f t="shared" ref="D176" si="134">D175-D172</f>
        <v>18</v>
      </c>
      <c r="E176" s="11">
        <f t="shared" ref="E176" si="135">E175-E172</f>
        <v>70</v>
      </c>
      <c r="F176" s="10"/>
      <c r="Q176" s="11"/>
      <c r="R176" s="20"/>
    </row>
    <row r="177" spans="1:18" x14ac:dyDescent="0.35">
      <c r="A177" t="s">
        <v>38</v>
      </c>
      <c r="B177" t="s">
        <v>66</v>
      </c>
      <c r="C177" s="10">
        <f>C176</f>
        <v>27</v>
      </c>
      <c r="D177">
        <f>SUM($C176:D176)</f>
        <v>45</v>
      </c>
      <c r="E177" s="11">
        <f>SUM($C176:E176)</f>
        <v>115</v>
      </c>
      <c r="F177" s="10"/>
      <c r="Q177" s="11"/>
      <c r="R177" s="20"/>
    </row>
    <row r="178" spans="1:18" x14ac:dyDescent="0.35">
      <c r="C178" s="10"/>
      <c r="E178" s="11"/>
      <c r="F178" s="10"/>
      <c r="Q178" s="11"/>
      <c r="R178" s="20"/>
    </row>
    <row r="179" spans="1:18" x14ac:dyDescent="0.35">
      <c r="A179" s="1" t="s">
        <v>45</v>
      </c>
      <c r="C179" s="10"/>
      <c r="E179" s="11"/>
      <c r="F179" s="10"/>
      <c r="Q179" s="11"/>
      <c r="R179" s="20"/>
    </row>
    <row r="180" spans="1:18" x14ac:dyDescent="0.35">
      <c r="A180" t="s">
        <v>43</v>
      </c>
      <c r="B180" t="s">
        <v>66</v>
      </c>
      <c r="C180" s="10">
        <f>$C$4+C172-C166</f>
        <v>0</v>
      </c>
      <c r="D180">
        <f>C180+D172-D166</f>
        <v>0</v>
      </c>
      <c r="E180" s="11">
        <f>D180+E172-E166</f>
        <v>0</v>
      </c>
      <c r="F180" s="77">
        <f>E182+F172-F166</f>
        <v>191</v>
      </c>
      <c r="G180" s="6">
        <f t="shared" ref="G180:Q180" si="136">F180+G172-G166</f>
        <v>151</v>
      </c>
      <c r="H180" s="6">
        <f t="shared" si="136"/>
        <v>76</v>
      </c>
      <c r="I180" s="6">
        <f t="shared" si="136"/>
        <v>95</v>
      </c>
      <c r="J180" s="6">
        <f t="shared" si="136"/>
        <v>54</v>
      </c>
      <c r="K180" s="6">
        <f t="shared" si="136"/>
        <v>183</v>
      </c>
      <c r="L180" s="6">
        <f t="shared" si="136"/>
        <v>92</v>
      </c>
      <c r="M180" s="6">
        <f t="shared" si="136"/>
        <v>123</v>
      </c>
      <c r="N180" s="6">
        <f t="shared" si="136"/>
        <v>98</v>
      </c>
      <c r="O180" s="6">
        <f t="shared" si="136"/>
        <v>171</v>
      </c>
      <c r="P180" s="6">
        <f t="shared" si="136"/>
        <v>99</v>
      </c>
      <c r="Q180" s="6">
        <f t="shared" si="136"/>
        <v>161</v>
      </c>
      <c r="R180" s="20"/>
    </row>
    <row r="181" spans="1:18" x14ac:dyDescent="0.35">
      <c r="B181" t="s">
        <v>7</v>
      </c>
      <c r="C181" s="12">
        <f>C180*$C$2</f>
        <v>0</v>
      </c>
      <c r="D181" s="3">
        <f t="shared" ref="D181" si="137">D180*$C$2</f>
        <v>0</v>
      </c>
      <c r="E181" s="13">
        <f t="shared" ref="E181" si="138">E180*$C$2</f>
        <v>0</v>
      </c>
      <c r="F181" s="12">
        <f>F180*$C$2</f>
        <v>5730</v>
      </c>
      <c r="G181" s="3">
        <f>G180*$C$2</f>
        <v>4530</v>
      </c>
      <c r="H181" s="3">
        <f t="shared" ref="H181" si="139">H180*$C$2</f>
        <v>2280</v>
      </c>
      <c r="I181" s="3">
        <f t="shared" ref="I181" si="140">I180*$C$2</f>
        <v>2850</v>
      </c>
      <c r="J181" s="3">
        <f t="shared" ref="J181" si="141">J180*$C$2</f>
        <v>1620</v>
      </c>
      <c r="K181" s="3">
        <f t="shared" ref="K181" si="142">K180*$C$2</f>
        <v>5490</v>
      </c>
      <c r="L181" s="3">
        <f t="shared" ref="L181" si="143">L180*$C$2</f>
        <v>2760</v>
      </c>
      <c r="M181" s="3">
        <f t="shared" ref="M181" si="144">M180*$C$2</f>
        <v>3690</v>
      </c>
      <c r="N181" s="3">
        <f t="shared" ref="N181" si="145">N180*$C$2</f>
        <v>2940</v>
      </c>
      <c r="O181" s="3">
        <f t="shared" ref="O181" si="146">O180*$C$2</f>
        <v>5130</v>
      </c>
      <c r="P181" s="3">
        <f t="shared" ref="P181" si="147">P180*$C$2</f>
        <v>2970</v>
      </c>
      <c r="Q181" s="3">
        <f t="shared" ref="Q181" si="148">Q180*$C$2</f>
        <v>4830</v>
      </c>
      <c r="R181" s="34"/>
    </row>
    <row r="182" spans="1:18" x14ac:dyDescent="0.35">
      <c r="A182" t="s">
        <v>44</v>
      </c>
      <c r="B182" t="s">
        <v>66</v>
      </c>
      <c r="C182" s="10">
        <f>$C$4+C175-C167</f>
        <v>60</v>
      </c>
      <c r="D182">
        <f>C182+D175-D167</f>
        <v>115</v>
      </c>
      <c r="E182" s="11">
        <f>D182+E175-E167</f>
        <v>215</v>
      </c>
      <c r="F182" s="10"/>
      <c r="Q182" s="11"/>
      <c r="R182" s="20"/>
    </row>
    <row r="183" spans="1:18" ht="15" thickBot="1" x14ac:dyDescent="0.4">
      <c r="A183" t="s">
        <v>46</v>
      </c>
      <c r="B183" t="s">
        <v>69</v>
      </c>
      <c r="C183" s="14">
        <f>C182/(D167/D174)</f>
        <v>3</v>
      </c>
      <c r="D183" s="15">
        <f>D182/(E167/E174)</f>
        <v>11.5</v>
      </c>
      <c r="E183" s="16">
        <f>E182/(F166/F174)</f>
        <v>16.996047430830039</v>
      </c>
      <c r="F183" s="14">
        <f t="shared" ref="F183:Q183" si="149">F180/(G166/G174)</f>
        <v>14.324999999999999</v>
      </c>
      <c r="G183" s="15">
        <f t="shared" si="149"/>
        <v>10.214705882352941</v>
      </c>
      <c r="H183" s="15">
        <f t="shared" si="149"/>
        <v>5.0666666666666664</v>
      </c>
      <c r="I183" s="15">
        <f t="shared" si="149"/>
        <v>5.3180661577608141</v>
      </c>
      <c r="J183" s="15">
        <f t="shared" si="149"/>
        <v>5.0987124463519313</v>
      </c>
      <c r="K183" s="15">
        <f t="shared" si="149"/>
        <v>6.3763066202090597</v>
      </c>
      <c r="L183" s="15">
        <f t="shared" si="149"/>
        <v>5.038095238095238</v>
      </c>
      <c r="M183" s="15">
        <f t="shared" si="149"/>
        <v>5.125</v>
      </c>
      <c r="N183" s="15">
        <f t="shared" si="149"/>
        <v>5.0491803278688518</v>
      </c>
      <c r="O183" s="15">
        <f t="shared" si="149"/>
        <v>6.4895635673624286</v>
      </c>
      <c r="P183" s="15">
        <f t="shared" si="149"/>
        <v>5.0381679389312977</v>
      </c>
      <c r="Q183" s="16">
        <f t="shared" si="149"/>
        <v>12.059925093632959</v>
      </c>
      <c r="R183" s="21"/>
    </row>
    <row r="184" spans="1:18" ht="15" thickBot="1" x14ac:dyDescent="0.4">
      <c r="A184" t="s">
        <v>47</v>
      </c>
      <c r="C184" s="50">
        <v>98</v>
      </c>
      <c r="D184" s="51">
        <v>100</v>
      </c>
      <c r="E184" s="52">
        <v>100</v>
      </c>
    </row>
    <row r="187" spans="1:18" ht="15" thickBot="1" x14ac:dyDescent="0.4"/>
    <row r="188" spans="1:18" x14ac:dyDescent="0.35">
      <c r="E188" s="19" t="s">
        <v>49</v>
      </c>
      <c r="F188" s="47">
        <f>MAX(F173-$C$8,0)</f>
        <v>0</v>
      </c>
      <c r="G188" s="27">
        <f>MAX(G173-F190,0)</f>
        <v>0</v>
      </c>
      <c r="H188" s="27">
        <f t="shared" ref="H188:Q188" si="150">MAX(H173-G190,0)</f>
        <v>11.645962732919088</v>
      </c>
      <c r="I188" s="27">
        <f t="shared" si="150"/>
        <v>553.53260869565224</v>
      </c>
      <c r="J188" s="27">
        <f t="shared" si="150"/>
        <v>6.25</v>
      </c>
      <c r="K188" s="27">
        <f t="shared" si="150"/>
        <v>56.818181818181984</v>
      </c>
      <c r="L188" s="27">
        <f t="shared" si="150"/>
        <v>393.18181818181802</v>
      </c>
      <c r="M188" s="27">
        <f t="shared" si="150"/>
        <v>1.0869565217390118</v>
      </c>
      <c r="N188" s="27">
        <f t="shared" si="150"/>
        <v>392.66304347826099</v>
      </c>
      <c r="O188" s="27">
        <f t="shared" si="150"/>
        <v>0</v>
      </c>
      <c r="P188" s="27">
        <f t="shared" si="150"/>
        <v>2.8409090909090082</v>
      </c>
      <c r="Q188" s="28">
        <f t="shared" si="150"/>
        <v>0</v>
      </c>
    </row>
    <row r="189" spans="1:18" x14ac:dyDescent="0.35">
      <c r="E189" s="20" t="s">
        <v>50</v>
      </c>
      <c r="F189" s="12">
        <f>MAX($C$8-F173,0)</f>
        <v>5.75</v>
      </c>
      <c r="G189" s="30">
        <f>MAX(F190-G173,0)</f>
        <v>2.6785714285713311</v>
      </c>
      <c r="H189" s="30">
        <f t="shared" ref="H189:Q189" si="151">MAX(G190-H173,0)</f>
        <v>0</v>
      </c>
      <c r="I189" s="30">
        <f t="shared" si="151"/>
        <v>0</v>
      </c>
      <c r="J189" s="30">
        <f t="shared" si="151"/>
        <v>0</v>
      </c>
      <c r="K189" s="30">
        <f t="shared" si="151"/>
        <v>0</v>
      </c>
      <c r="L189" s="30">
        <f t="shared" si="151"/>
        <v>0</v>
      </c>
      <c r="M189" s="30">
        <f t="shared" si="151"/>
        <v>0</v>
      </c>
      <c r="N189" s="30">
        <f t="shared" si="151"/>
        <v>0</v>
      </c>
      <c r="O189" s="30">
        <f t="shared" si="151"/>
        <v>2.8409090909090082</v>
      </c>
      <c r="P189" s="30">
        <f t="shared" si="151"/>
        <v>0</v>
      </c>
      <c r="Q189" s="31">
        <f t="shared" si="151"/>
        <v>0</v>
      </c>
    </row>
    <row r="190" spans="1:18" ht="15" thickBot="1" x14ac:dyDescent="0.4">
      <c r="E190" s="21" t="s">
        <v>48</v>
      </c>
      <c r="F190" s="48">
        <f>$C$8+F188-F189</f>
        <v>1431.25</v>
      </c>
      <c r="G190" s="32">
        <f>F190+G188-G189</f>
        <v>1428.5714285714287</v>
      </c>
      <c r="H190" s="32">
        <f t="shared" ref="H190" si="152">G190+H188-H189</f>
        <v>1440.2173913043478</v>
      </c>
      <c r="I190" s="32">
        <f t="shared" ref="I190" si="153">H190+I188-I189</f>
        <v>1993.75</v>
      </c>
      <c r="J190" s="32">
        <f t="shared" ref="J190" si="154">I190+J188-J189</f>
        <v>2000</v>
      </c>
      <c r="K190" s="32">
        <f t="shared" ref="K190" si="155">J190+K188-K189</f>
        <v>2056.818181818182</v>
      </c>
      <c r="L190" s="32">
        <f t="shared" ref="L190" si="156">K190+L188-L189</f>
        <v>2450</v>
      </c>
      <c r="M190" s="32">
        <f t="shared" ref="M190" si="157">L190+M188-M189</f>
        <v>2451.086956521739</v>
      </c>
      <c r="N190" s="32">
        <f t="shared" ref="N190" si="158">M190+N188-N189</f>
        <v>2843.75</v>
      </c>
      <c r="O190" s="32">
        <f t="shared" ref="O190" si="159">N190+O188-O189</f>
        <v>2840.909090909091</v>
      </c>
      <c r="P190" s="32">
        <f t="shared" ref="P190" si="160">O190+P188-P189</f>
        <v>2843.75</v>
      </c>
      <c r="Q190" s="33">
        <f t="shared" ref="Q190" si="161">P190+Q188-Q189</f>
        <v>2843.75</v>
      </c>
    </row>
    <row r="192" spans="1:18" ht="15" thickBot="1" x14ac:dyDescent="0.4">
      <c r="E192" t="s">
        <v>59</v>
      </c>
      <c r="R192" s="8" t="s">
        <v>60</v>
      </c>
    </row>
    <row r="193" spans="1:18" x14ac:dyDescent="0.35">
      <c r="E193" s="19" t="s">
        <v>49</v>
      </c>
      <c r="F193" s="27">
        <f t="shared" ref="F193:Q193" si="162">F188*$C$6</f>
        <v>0</v>
      </c>
      <c r="G193" s="27">
        <f t="shared" si="162"/>
        <v>0</v>
      </c>
      <c r="H193" s="27">
        <f t="shared" si="162"/>
        <v>2.3291925465838177</v>
      </c>
      <c r="I193" s="27">
        <f t="shared" si="162"/>
        <v>110.70652173913045</v>
      </c>
      <c r="J193" s="27">
        <f t="shared" si="162"/>
        <v>1.25</v>
      </c>
      <c r="K193" s="27">
        <f t="shared" si="162"/>
        <v>11.363636363636397</v>
      </c>
      <c r="L193" s="27">
        <f t="shared" si="162"/>
        <v>78.636363636363612</v>
      </c>
      <c r="M193" s="27">
        <f t="shared" si="162"/>
        <v>0.21739130434780238</v>
      </c>
      <c r="N193" s="27">
        <f t="shared" si="162"/>
        <v>78.5326086956522</v>
      </c>
      <c r="O193" s="27">
        <f t="shared" si="162"/>
        <v>0</v>
      </c>
      <c r="P193" s="27">
        <f t="shared" si="162"/>
        <v>0.56818181818180169</v>
      </c>
      <c r="Q193" s="28">
        <f t="shared" si="162"/>
        <v>0</v>
      </c>
      <c r="R193" s="37">
        <f>SUM(F193:Q193)</f>
        <v>283.60389610389609</v>
      </c>
    </row>
    <row r="194" spans="1:18" x14ac:dyDescent="0.35">
      <c r="E194" s="20" t="s">
        <v>50</v>
      </c>
      <c r="F194" s="30">
        <f>F189*$C$7</f>
        <v>2.875</v>
      </c>
      <c r="G194" s="30">
        <f t="shared" ref="G194:Q194" si="163">G189*$C$7</f>
        <v>1.3392857142856656</v>
      </c>
      <c r="H194" s="30">
        <f t="shared" si="163"/>
        <v>0</v>
      </c>
      <c r="I194" s="30">
        <f t="shared" si="163"/>
        <v>0</v>
      </c>
      <c r="J194" s="30">
        <f t="shared" si="163"/>
        <v>0</v>
      </c>
      <c r="K194" s="30">
        <f t="shared" si="163"/>
        <v>0</v>
      </c>
      <c r="L194" s="30">
        <f t="shared" si="163"/>
        <v>0</v>
      </c>
      <c r="M194" s="30">
        <f t="shared" si="163"/>
        <v>0</v>
      </c>
      <c r="N194" s="30">
        <f t="shared" si="163"/>
        <v>0</v>
      </c>
      <c r="O194" s="30">
        <f t="shared" si="163"/>
        <v>1.4204545454545041</v>
      </c>
      <c r="P194" s="30">
        <f t="shared" si="163"/>
        <v>0</v>
      </c>
      <c r="Q194" s="31">
        <f t="shared" si="163"/>
        <v>0</v>
      </c>
      <c r="R194" s="38">
        <f t="shared" ref="R194:R195" si="164">SUM(F194:Q194)</f>
        <v>5.6347402597401697</v>
      </c>
    </row>
    <row r="195" spans="1:18" ht="15" thickBot="1" x14ac:dyDescent="0.4">
      <c r="E195" s="21" t="s">
        <v>8</v>
      </c>
      <c r="F195" s="32">
        <f>F180*$C$2*$C$5</f>
        <v>114.60000000000001</v>
      </c>
      <c r="G195" s="32">
        <f>G180*$C$2*$C$5</f>
        <v>90.600000000000009</v>
      </c>
      <c r="H195" s="32">
        <f t="shared" ref="H195:P195" si="165">H180*$C$2*$C$5</f>
        <v>45.6</v>
      </c>
      <c r="I195" s="32">
        <f t="shared" si="165"/>
        <v>57</v>
      </c>
      <c r="J195" s="32">
        <f t="shared" si="165"/>
        <v>32.4</v>
      </c>
      <c r="K195" s="32">
        <f t="shared" si="165"/>
        <v>109.8</v>
      </c>
      <c r="L195" s="32">
        <f t="shared" si="165"/>
        <v>55.2</v>
      </c>
      <c r="M195" s="32">
        <f t="shared" si="165"/>
        <v>73.8</v>
      </c>
      <c r="N195" s="32">
        <f t="shared" si="165"/>
        <v>58.800000000000004</v>
      </c>
      <c r="O195" s="32">
        <f t="shared" si="165"/>
        <v>102.60000000000001</v>
      </c>
      <c r="P195" s="32">
        <f t="shared" si="165"/>
        <v>59.4</v>
      </c>
      <c r="Q195" s="33">
        <f>Q180*$C$2*$C$5</f>
        <v>96.600000000000009</v>
      </c>
      <c r="R195" s="39">
        <f t="shared" si="164"/>
        <v>896.4</v>
      </c>
    </row>
    <row r="196" spans="1:18" x14ac:dyDescent="0.35">
      <c r="Q196" s="9" t="s">
        <v>61</v>
      </c>
      <c r="R196" s="40">
        <f>SUM(R193:R195)</f>
        <v>1185.6386363636361</v>
      </c>
    </row>
    <row r="197" spans="1:18" ht="15" thickBot="1" x14ac:dyDescent="0.4">
      <c r="Q197" s="9"/>
      <c r="R197" s="40"/>
    </row>
    <row r="198" spans="1:18" x14ac:dyDescent="0.35">
      <c r="A198" s="67" t="s">
        <v>63</v>
      </c>
      <c r="B198" s="68"/>
      <c r="C198" s="67"/>
      <c r="D198" s="69"/>
      <c r="E198" s="68">
        <v>0</v>
      </c>
      <c r="F198" s="47">
        <f>F172+F180</f>
        <v>420</v>
      </c>
      <c r="G198" s="27">
        <f t="shared" ref="G198:Q198" si="166">G172+G180</f>
        <v>391</v>
      </c>
      <c r="H198" s="27">
        <f t="shared" si="166"/>
        <v>341</v>
      </c>
      <c r="I198" s="27">
        <f t="shared" si="166"/>
        <v>414</v>
      </c>
      <c r="J198" s="27">
        <f t="shared" si="166"/>
        <v>406</v>
      </c>
      <c r="K198" s="27">
        <f t="shared" si="166"/>
        <v>545</v>
      </c>
      <c r="L198" s="27">
        <f t="shared" si="166"/>
        <v>288</v>
      </c>
      <c r="M198" s="27">
        <f t="shared" si="166"/>
        <v>574</v>
      </c>
      <c r="N198" s="27">
        <f t="shared" si="166"/>
        <v>553</v>
      </c>
      <c r="O198" s="27">
        <f t="shared" si="166"/>
        <v>671</v>
      </c>
      <c r="P198" s="27">
        <f t="shared" si="166"/>
        <v>554</v>
      </c>
      <c r="Q198" s="28">
        <f t="shared" si="166"/>
        <v>616</v>
      </c>
      <c r="R198" s="40"/>
    </row>
    <row r="199" spans="1:18" x14ac:dyDescent="0.35">
      <c r="A199" s="10" t="s">
        <v>64</v>
      </c>
      <c r="B199" s="11" t="s">
        <v>66</v>
      </c>
      <c r="C199" s="10"/>
      <c r="E199" s="11"/>
      <c r="F199" s="70">
        <f>SUM($F166:F166)</f>
        <v>253</v>
      </c>
      <c r="G199" s="30">
        <f>SUM($F166:G166)</f>
        <v>533</v>
      </c>
      <c r="H199" s="30">
        <f>SUM($F166:H166)</f>
        <v>873</v>
      </c>
      <c r="I199" s="30">
        <f>SUM($F166:I166)</f>
        <v>1173</v>
      </c>
      <c r="J199" s="30">
        <f>SUM($F166:J166)</f>
        <v>1566</v>
      </c>
      <c r="K199" s="30">
        <f>SUM($F166:K166)</f>
        <v>1799</v>
      </c>
      <c r="L199" s="30">
        <f>SUM($F166:L166)</f>
        <v>2086</v>
      </c>
      <c r="M199" s="30">
        <f>SUM($F166:M166)</f>
        <v>2506</v>
      </c>
      <c r="N199" s="30">
        <f>SUM($F166:N166)</f>
        <v>2986</v>
      </c>
      <c r="O199" s="30">
        <f>SUM($F166:O166)</f>
        <v>3413</v>
      </c>
      <c r="P199" s="30">
        <f>SUM($F166:P166)</f>
        <v>3940</v>
      </c>
      <c r="Q199" s="31">
        <f>SUM($F166:Q166)</f>
        <v>4333</v>
      </c>
      <c r="R199" s="40"/>
    </row>
    <row r="200" spans="1:18" ht="15" thickBot="1" x14ac:dyDescent="0.4">
      <c r="A200" s="71" t="s">
        <v>65</v>
      </c>
      <c r="B200" s="72" t="s">
        <v>66</v>
      </c>
      <c r="C200" s="73"/>
      <c r="D200" s="74"/>
      <c r="E200" s="72">
        <f>$E182</f>
        <v>215</v>
      </c>
      <c r="F200" s="48">
        <f>SUM($F172:F172)+$E182</f>
        <v>444</v>
      </c>
      <c r="G200" s="32">
        <f>SUM($F172:G172)+$E182</f>
        <v>684</v>
      </c>
      <c r="H200" s="32">
        <f>SUM($F172:H172)+$E182</f>
        <v>949</v>
      </c>
      <c r="I200" s="32">
        <f>SUM($F172:I172)+$E182</f>
        <v>1268</v>
      </c>
      <c r="J200" s="32">
        <f>SUM($F172:J172)+$E182</f>
        <v>1620</v>
      </c>
      <c r="K200" s="32">
        <f>SUM($F172:K172)+$E182</f>
        <v>1982</v>
      </c>
      <c r="L200" s="32">
        <f>SUM($F172:L172)+$E182</f>
        <v>2178</v>
      </c>
      <c r="M200" s="32">
        <f>SUM($F172:M172)+$E182</f>
        <v>2629</v>
      </c>
      <c r="N200" s="32">
        <f>SUM($F172:N172)+$E182</f>
        <v>3084</v>
      </c>
      <c r="O200" s="32">
        <f>SUM($F172:O172)+$E182</f>
        <v>3584</v>
      </c>
      <c r="P200" s="32">
        <f>SUM($F172:P172)+$E182</f>
        <v>4039</v>
      </c>
      <c r="Q200" s="33">
        <f>SUM($F172:Q172)+$E182</f>
        <v>4494</v>
      </c>
      <c r="R200" s="40"/>
    </row>
  </sheetData>
  <mergeCells count="12">
    <mergeCell ref="A102:R102"/>
    <mergeCell ref="C111:E111"/>
    <mergeCell ref="F111:Q111"/>
    <mergeCell ref="A158:R158"/>
    <mergeCell ref="C160:E160"/>
    <mergeCell ref="F160:Q160"/>
    <mergeCell ref="C12:E12"/>
    <mergeCell ref="F12:Q12"/>
    <mergeCell ref="A10:R10"/>
    <mergeCell ref="C59:E59"/>
    <mergeCell ref="F59:Q59"/>
    <mergeCell ref="A56:R5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Sales forecasts</vt:lpstr>
      <vt:lpstr>S&amp;OP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ROSIN Frédéric</dc:creator>
  <cp:lastModifiedBy>ROSIN Frédéric</cp:lastModifiedBy>
  <dcterms:created xsi:type="dcterms:W3CDTF">2015-07-24T13:47:05Z</dcterms:created>
  <dcterms:modified xsi:type="dcterms:W3CDTF">2026-10-06T15:29:07Z</dcterms:modified>
</cp:coreProperties>
</file>