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sin\Documents\MR-CPSE-Cyber-Physical-Systems-Engineering-\2025 - Prep intervention\Exo planification\"/>
    </mc:Choice>
  </mc:AlternateContent>
  <workbookProtection workbookPassword="CC12" lockStructure="1"/>
  <bookViews>
    <workbookView xWindow="600" yWindow="375" windowWidth="14760" windowHeight="7770" firstSheet="1" activeTab="1"/>
  </bookViews>
  <sheets>
    <sheet name="MPS" sheetId="4" state="hidden" r:id="rId1"/>
    <sheet name="MPS ve" sheetId="5" r:id="rId2"/>
  </sheets>
  <definedNames>
    <definedName name="_xlnm.Print_Area" localSheetId="1">'MPS ve'!$A$1:$AA$42</definedName>
  </definedNames>
  <calcPr calcId="162913"/>
</workbook>
</file>

<file path=xl/calcChain.xml><?xml version="1.0" encoding="utf-8"?>
<calcChain xmlns="http://schemas.openxmlformats.org/spreadsheetml/2006/main">
  <c r="E6" i="5" l="1"/>
  <c r="F6" i="5" s="1"/>
  <c r="G6" i="5" s="1"/>
  <c r="H6" i="5" s="1"/>
  <c r="D6" i="5"/>
  <c r="V12" i="5" l="1"/>
  <c r="W12" i="5" s="1"/>
  <c r="X12" i="5" s="1"/>
  <c r="Y12" i="5" s="1"/>
  <c r="Z12" i="5" s="1"/>
  <c r="M12" i="5"/>
  <c r="N12" i="5" s="1"/>
  <c r="O12" i="5" s="1"/>
  <c r="P12" i="5" s="1"/>
  <c r="Q12" i="5" s="1"/>
  <c r="I7" i="5"/>
  <c r="I5" i="5"/>
  <c r="F65" i="4" l="1" a="1"/>
  <c r="F65" i="4" s="1"/>
  <c r="G65" i="4" a="1"/>
  <c r="G65" i="4" s="1"/>
  <c r="H65" i="4" a="1"/>
  <c r="H65" i="4" s="1"/>
  <c r="E65" i="4" a="1"/>
  <c r="E65" i="4" s="1"/>
  <c r="D65" i="4" a="1"/>
  <c r="D65" i="4" s="1"/>
  <c r="D67" i="4" s="1"/>
  <c r="F66" i="4" a="1"/>
  <c r="F66" i="4" s="1"/>
  <c r="G66" i="4" a="1"/>
  <c r="G66" i="4" s="1"/>
  <c r="H66" i="4" a="1"/>
  <c r="H66" i="4" s="1"/>
  <c r="E66" i="4" a="1"/>
  <c r="E66" i="4" s="1"/>
  <c r="D53" i="4"/>
  <c r="E53" i="4" s="1"/>
  <c r="F53" i="4" s="1"/>
  <c r="G53" i="4" s="1"/>
  <c r="H53" i="4" s="1"/>
  <c r="F54" i="4" a="1"/>
  <c r="F54" i="4" s="1"/>
  <c r="F55" i="4" s="1"/>
  <c r="D64" i="4"/>
  <c r="E64" i="4" s="1"/>
  <c r="F64" i="4" s="1"/>
  <c r="G64" i="4" s="1"/>
  <c r="H64" i="4" s="1"/>
  <c r="E73" i="4"/>
  <c r="D73" i="4"/>
  <c r="G54" i="4" a="1"/>
  <c r="G54" i="4" s="1"/>
  <c r="G55" i="4" s="1"/>
  <c r="H54" i="4" a="1"/>
  <c r="H54" i="4" s="1"/>
  <c r="H55" i="4" s="1"/>
  <c r="E54" i="4" a="1"/>
  <c r="E54" i="4" s="1"/>
  <c r="E55" i="4" s="1"/>
  <c r="D54" i="4" a="1"/>
  <c r="D54" i="4" s="1"/>
  <c r="I7" i="4"/>
  <c r="E27" i="4"/>
  <c r="F27" i="4" s="1"/>
  <c r="G27" i="4" s="1"/>
  <c r="H27" i="4" s="1"/>
  <c r="D27" i="4"/>
  <c r="V12" i="4"/>
  <c r="W12" i="4" s="1"/>
  <c r="X12" i="4" s="1"/>
  <c r="Y12" i="4" s="1"/>
  <c r="Z12" i="4" s="1"/>
  <c r="M12" i="4"/>
  <c r="N12" i="4" s="1"/>
  <c r="O12" i="4" s="1"/>
  <c r="P12" i="4" s="1"/>
  <c r="Q12" i="4" s="1"/>
  <c r="D6" i="4"/>
  <c r="E6" i="4" s="1"/>
  <c r="F6" i="4" s="1"/>
  <c r="G6" i="4" s="1"/>
  <c r="H6" i="4" s="1"/>
  <c r="D12" i="4"/>
  <c r="E12" i="4" s="1"/>
  <c r="F12" i="4" s="1"/>
  <c r="G12" i="4" s="1"/>
  <c r="H12" i="4" s="1"/>
  <c r="I5" i="4"/>
  <c r="E67" i="4" l="1"/>
  <c r="G67" i="4" s="1"/>
  <c r="H67" i="4" s="1"/>
  <c r="F67" i="4"/>
  <c r="D55" i="4"/>
</calcChain>
</file>

<file path=xl/comments1.xml><?xml version="1.0" encoding="utf-8"?>
<comments xmlns="http://schemas.openxmlformats.org/spreadsheetml/2006/main">
  <authors>
    <author>ROSIN Frédéric</author>
  </authors>
  <commentList>
    <comment ref="B54" authorId="0" shapeId="0">
      <text>
        <r>
          <rPr>
            <sz val="9"/>
            <color indexed="81"/>
            <rFont val="Tahoma"/>
            <family val="2"/>
          </rPr>
          <t xml:space="preserve">Cacul pour chaque période, du nombre de périodes suivantes pour lesquelles les commandes client doivent être prises en compte dans le calcul de l'ATP
</t>
        </r>
      </text>
    </comment>
    <comment ref="D54" authorId="0" shapeId="0">
      <text>
        <r>
          <rPr>
            <sz val="9"/>
            <color indexed="81"/>
            <rFont val="Tahoma"/>
            <family val="2"/>
          </rPr>
          <t>Formule différente pour la 1ère période, car même si aucun OP n'est prévu en 1ère période, on calcul quand même le ATP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Attention :</t>
        </r>
        <r>
          <rPr>
            <sz val="9"/>
            <color indexed="81"/>
            <rFont val="Tahoma"/>
            <family val="2"/>
          </rPr>
          <t xml:space="preserve"> la formule n'est pas exactement la même pour la 1ère période que pour les autres périodes
</t>
        </r>
      </text>
    </comment>
    <comment ref="B65" authorId="0" shapeId="0">
      <text>
        <r>
          <rPr>
            <sz val="9"/>
            <color indexed="81"/>
            <rFont val="Tahoma"/>
            <family val="2"/>
          </rPr>
          <t xml:space="preserve">Cacul pour chaque période, du nombre de périodes suivantes pour lesquelles les commandes client doivent être prises en compte dans le calcul de l'ATP
</t>
        </r>
      </text>
    </comment>
    <comment ref="D65" authorId="0" shapeId="0">
      <text>
        <r>
          <rPr>
            <sz val="9"/>
            <color indexed="81"/>
            <rFont val="Tahoma"/>
            <family val="2"/>
          </rPr>
          <t>Formule différente pour la 1ère période, car même si aucun OP n'est prévu en 1ère période, on calcul quand même le ATP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Attention :</t>
        </r>
        <r>
          <rPr>
            <sz val="9"/>
            <color indexed="81"/>
            <rFont val="Tahoma"/>
            <family val="2"/>
          </rPr>
          <t xml:space="preserve"> la formule n'est pas exactement la même pour la 1ère période que pour les autres périodes
</t>
        </r>
      </text>
    </comment>
  </commentList>
</comments>
</file>

<file path=xl/sharedStrings.xml><?xml version="1.0" encoding="utf-8"?>
<sst xmlns="http://schemas.openxmlformats.org/spreadsheetml/2006/main" count="209" uniqueCount="27">
  <si>
    <t>Forcast</t>
  </si>
  <si>
    <t>Stock Dispo - Projected available Balance</t>
  </si>
  <si>
    <t>PDP - MPS</t>
  </si>
  <si>
    <t>Stock init (On Hand)</t>
  </si>
  <si>
    <t>Périodes</t>
  </si>
  <si>
    <t>Taille de Lot : 30</t>
  </si>
  <si>
    <t>Stock de sécurité : 5</t>
  </si>
  <si>
    <t>PDP - MPS (livraison prévue)</t>
  </si>
  <si>
    <t>Available to Promise</t>
  </si>
  <si>
    <t>Discrete ATP Logic</t>
  </si>
  <si>
    <t>Cumulative ATP Logic</t>
  </si>
  <si>
    <t>3+5 new</t>
  </si>
  <si>
    <t>2+15</t>
  </si>
  <si>
    <t>Discrete ATP Logic- Update</t>
  </si>
  <si>
    <t>Cumulative ATP Logic - Update</t>
  </si>
  <si>
    <t>Commandes Client - Order</t>
  </si>
  <si>
    <t>Demande prévisonnelle - Forcast</t>
  </si>
  <si>
    <t>Total :</t>
  </si>
  <si>
    <t>Nbre périodes pour calcul ATP</t>
  </si>
  <si>
    <t>Décalage période du Précédent ATP</t>
  </si>
  <si>
    <t>MPS - PDP</t>
  </si>
  <si>
    <t>Forcast- Demande prévisonnelle</t>
  </si>
  <si>
    <t xml:space="preserve">Projected available Balance - Stock Dispo </t>
  </si>
  <si>
    <t>Periods</t>
  </si>
  <si>
    <t xml:space="preserve">Order - Commandes Client </t>
  </si>
  <si>
    <t>Lot Size: 30</t>
  </si>
  <si>
    <t>Safety Stock: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</si>
</sst>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i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 wrapText="1"/>
    </xf>
    <xf numFmtId="0" fontId="0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3</xdr:row>
      <xdr:rowOff>9525</xdr:rowOff>
    </xdr:from>
    <xdr:to>
      <xdr:col>17</xdr:col>
      <xdr:colOff>47625</xdr:colOff>
      <xdr:row>7</xdr:row>
      <xdr:rowOff>85725</xdr:rowOff>
    </xdr:to>
    <xdr:sp macro="" textlink="">
      <xdr:nvSpPr>
        <xdr:cNvPr id="2" name="ZoneTexte 1"/>
        <xdr:cNvSpPr txBox="1"/>
      </xdr:nvSpPr>
      <xdr:spPr>
        <a:xfrm>
          <a:off x="7105650" y="200025"/>
          <a:ext cx="52673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Les</a:t>
          </a:r>
          <a:r>
            <a:rPr lang="fr-FR" sz="1100" baseline="0"/>
            <a:t> ventes réelles de la période 1 ont été de 10 alors que l'on prévoyait 5</a:t>
          </a:r>
        </a:p>
        <a:p>
          <a:r>
            <a:rPr lang="fr-FR" sz="1100" baseline="0"/>
            <a:t>- le volumes des ventes prévisionnelles pour les périodes 2, 3 et 4 ont été fortement revues à la hausse</a:t>
          </a:r>
        </a:p>
        <a:p>
          <a:r>
            <a:rPr lang="fr-FR" sz="1100" baseline="0"/>
            <a:t>- la prévision pour la période 6 a été rajoutée/établie</a:t>
          </a:r>
        </a:p>
        <a:p>
          <a:r>
            <a:rPr lang="fr-FR" sz="1100"/>
            <a:t>-&gt;</a:t>
          </a:r>
          <a:r>
            <a:rPr lang="fr-FR" sz="1100" baseline="0"/>
            <a:t> le plan de production doit être revu car des ruptures de stocks sont prévues tel quel</a:t>
          </a:r>
          <a:endParaRPr lang="fr-FR" sz="1100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25</xdr:col>
      <xdr:colOff>295275</xdr:colOff>
      <xdr:row>7</xdr:row>
      <xdr:rowOff>76200</xdr:rowOff>
    </xdr:to>
    <xdr:sp macro="" textlink="">
      <xdr:nvSpPr>
        <xdr:cNvPr id="3" name="ZoneTexte 2"/>
        <xdr:cNvSpPr txBox="1"/>
      </xdr:nvSpPr>
      <xdr:spPr>
        <a:xfrm>
          <a:off x="13849350" y="190500"/>
          <a:ext cx="52673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Mise à jour</a:t>
          </a:r>
          <a:r>
            <a:rPr lang="fr-FR" sz="1100" baseline="0"/>
            <a:t> du PDP pour tenir compte des évolutions précéement décrites entre la période 1 et la période 2.</a:t>
          </a:r>
          <a:endParaRPr lang="fr-FR" sz="1100"/>
        </a:p>
      </xdr:txBody>
    </xdr:sp>
    <xdr:clientData/>
  </xdr:twoCellAnchor>
  <xdr:twoCellAnchor>
    <xdr:from>
      <xdr:col>1</xdr:col>
      <xdr:colOff>19050</xdr:colOff>
      <xdr:row>7</xdr:row>
      <xdr:rowOff>104776</xdr:rowOff>
    </xdr:from>
    <xdr:to>
      <xdr:col>1</xdr:col>
      <xdr:colOff>2324100</xdr:colOff>
      <xdr:row>9</xdr:row>
      <xdr:rowOff>257176</xdr:rowOff>
    </xdr:to>
    <xdr:sp macro="" textlink="">
      <xdr:nvSpPr>
        <xdr:cNvPr id="4" name="ZoneTexte 3"/>
        <xdr:cNvSpPr txBox="1"/>
      </xdr:nvSpPr>
      <xdr:spPr>
        <a:xfrm>
          <a:off x="19050" y="1247776"/>
          <a:ext cx="23050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On</a:t>
          </a:r>
          <a:r>
            <a:rPr lang="fr-FR" sz="1100" baseline="0"/>
            <a:t> tient compte des tailles de Lot + Stock de sécu</a:t>
          </a:r>
          <a:endParaRPr lang="fr-FR" sz="110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2305050</xdr:colOff>
      <xdr:row>3</xdr:row>
      <xdr:rowOff>352425</xdr:rowOff>
    </xdr:to>
    <xdr:sp macro="" textlink="">
      <xdr:nvSpPr>
        <xdr:cNvPr id="5" name="ZoneTexte 4"/>
        <xdr:cNvSpPr txBox="1"/>
      </xdr:nvSpPr>
      <xdr:spPr>
        <a:xfrm>
          <a:off x="0" y="0"/>
          <a:ext cx="230505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PDP préliminaire</a:t>
          </a:r>
          <a:r>
            <a:rPr lang="fr-FR" sz="1100" baseline="0"/>
            <a:t> établit selon un logique de production lissée</a:t>
          </a:r>
          <a:endParaRPr lang="fr-FR" sz="1100"/>
        </a:p>
      </xdr:txBody>
    </xdr:sp>
    <xdr:clientData/>
  </xdr:twoCellAnchor>
  <xdr:twoCellAnchor>
    <xdr:from>
      <xdr:col>1</xdr:col>
      <xdr:colOff>0</xdr:colOff>
      <xdr:row>3</xdr:row>
      <xdr:rowOff>80962</xdr:rowOff>
    </xdr:from>
    <xdr:to>
      <xdr:col>1</xdr:col>
      <xdr:colOff>19050</xdr:colOff>
      <xdr:row>8</xdr:row>
      <xdr:rowOff>180975</xdr:rowOff>
    </xdr:to>
    <xdr:cxnSp macro="">
      <xdr:nvCxnSpPr>
        <xdr:cNvPr id="7" name="Connecteur en arc 6"/>
        <xdr:cNvCxnSpPr>
          <a:stCxn id="5" idx="1"/>
          <a:endCxn id="4" idx="1"/>
        </xdr:cNvCxnSpPr>
      </xdr:nvCxnSpPr>
      <xdr:spPr>
        <a:xfrm rot="10800000" flipH="1" flipV="1">
          <a:off x="762000" y="271462"/>
          <a:ext cx="19050" cy="1243013"/>
        </a:xfrm>
        <a:prstGeom prst="curvedConnector3">
          <a:avLst>
            <a:gd name="adj1" fmla="val -16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2324100</xdr:colOff>
      <xdr:row>4</xdr:row>
      <xdr:rowOff>142875</xdr:rowOff>
    </xdr:from>
    <xdr:to>
      <xdr:col>10</xdr:col>
      <xdr:colOff>200025</xdr:colOff>
      <xdr:row>8</xdr:row>
      <xdr:rowOff>180976</xdr:rowOff>
    </xdr:to>
    <xdr:cxnSp macro="">
      <xdr:nvCxnSpPr>
        <xdr:cNvPr id="11" name="Connecteur en arc 10"/>
        <xdr:cNvCxnSpPr>
          <a:stCxn id="4" idx="3"/>
          <a:endCxn id="2" idx="1"/>
        </xdr:cNvCxnSpPr>
      </xdr:nvCxnSpPr>
      <xdr:spPr>
        <a:xfrm flipV="1">
          <a:off x="3086100" y="714375"/>
          <a:ext cx="4781550" cy="800101"/>
        </a:xfrm>
        <a:prstGeom prst="curvedConnector3">
          <a:avLst>
            <a:gd name="adj1" fmla="val 6792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4</xdr:row>
      <xdr:rowOff>133350</xdr:rowOff>
    </xdr:from>
    <xdr:to>
      <xdr:col>19</xdr:col>
      <xdr:colOff>0</xdr:colOff>
      <xdr:row>4</xdr:row>
      <xdr:rowOff>142875</xdr:rowOff>
    </xdr:to>
    <xdr:cxnSp macro="">
      <xdr:nvCxnSpPr>
        <xdr:cNvPr id="19" name="Connecteur en arc 18"/>
        <xdr:cNvCxnSpPr>
          <a:stCxn id="2" idx="3"/>
          <a:endCxn id="3" idx="1"/>
        </xdr:cNvCxnSpPr>
      </xdr:nvCxnSpPr>
      <xdr:spPr>
        <a:xfrm flipV="1">
          <a:off x="13134975" y="704850"/>
          <a:ext cx="1476375" cy="9525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9</xdr:col>
      <xdr:colOff>571500</xdr:colOff>
      <xdr:row>1</xdr:row>
      <xdr:rowOff>57150</xdr:rowOff>
    </xdr:to>
    <xdr:sp macro="" textlink="">
      <xdr:nvSpPr>
        <xdr:cNvPr id="22" name="ZoneTexte 21"/>
        <xdr:cNvSpPr txBox="1"/>
      </xdr:nvSpPr>
      <xdr:spPr>
        <a:xfrm>
          <a:off x="762000" y="0"/>
          <a:ext cx="67151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Stock disponible prévisionnel = Stock disponible précédent + Ordre de production de la période (PDP)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P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révision</a:t>
          </a:r>
          <a:endParaRPr lang="fr-FR" sz="1100"/>
        </a:p>
      </xdr:txBody>
    </xdr:sp>
    <xdr:clientData/>
  </xdr:twoCellAnchor>
  <xdr:twoCellAnchor>
    <xdr:from>
      <xdr:col>10</xdr:col>
      <xdr:colOff>257175</xdr:colOff>
      <xdr:row>17</xdr:row>
      <xdr:rowOff>57149</xdr:rowOff>
    </xdr:from>
    <xdr:to>
      <xdr:col>17</xdr:col>
      <xdr:colOff>104775</xdr:colOff>
      <xdr:row>20</xdr:row>
      <xdr:rowOff>123824</xdr:rowOff>
    </xdr:to>
    <xdr:sp macro="" textlink="">
      <xdr:nvSpPr>
        <xdr:cNvPr id="23" name="ZoneTexte 22"/>
        <xdr:cNvSpPr txBox="1"/>
      </xdr:nvSpPr>
      <xdr:spPr>
        <a:xfrm>
          <a:off x="7924800" y="4248149"/>
          <a:ext cx="52673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Les</a:t>
          </a:r>
          <a:r>
            <a:rPr lang="fr-FR" sz="1100" baseline="0"/>
            <a:t> ventes réelles de la période 1 ont été de 5 alors que l'on prévoyait 5 - pas d'erreur de prév sur période 1TP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17</xdr:row>
      <xdr:rowOff>57149</xdr:rowOff>
    </xdr:from>
    <xdr:to>
      <xdr:col>17</xdr:col>
      <xdr:colOff>104775</xdr:colOff>
      <xdr:row>20</xdr:row>
      <xdr:rowOff>123824</xdr:rowOff>
    </xdr:to>
    <xdr:sp macro="" textlink="">
      <xdr:nvSpPr>
        <xdr:cNvPr id="10" name="ZoneTexte 9"/>
        <xdr:cNvSpPr txBox="1"/>
      </xdr:nvSpPr>
      <xdr:spPr>
        <a:xfrm>
          <a:off x="7924800" y="3686174"/>
          <a:ext cx="5267325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Les</a:t>
          </a:r>
          <a:r>
            <a:rPr lang="fr-FR" sz="1100" baseline="0"/>
            <a:t> ventes réelles de la période 1 ont été de 5 alors que l'on prévoyait 5 - pas d'erreur de prév sur période 1TP</a:t>
          </a:r>
        </a:p>
      </xdr:txBody>
    </xdr:sp>
    <xdr:clientData/>
  </xdr:twoCellAnchor>
  <xdr:twoCellAnchor>
    <xdr:from>
      <xdr:col>10</xdr:col>
      <xdr:colOff>200025</xdr:colOff>
      <xdr:row>3</xdr:row>
      <xdr:rowOff>9525</xdr:rowOff>
    </xdr:from>
    <xdr:to>
      <xdr:col>17</xdr:col>
      <xdr:colOff>47625</xdr:colOff>
      <xdr:row>7</xdr:row>
      <xdr:rowOff>85725</xdr:rowOff>
    </xdr:to>
    <xdr:sp macro="" textlink="">
      <xdr:nvSpPr>
        <xdr:cNvPr id="3" name="ZoneTexte 2"/>
        <xdr:cNvSpPr txBox="1"/>
      </xdr:nvSpPr>
      <xdr:spPr>
        <a:xfrm>
          <a:off x="7867650" y="581025"/>
          <a:ext cx="52673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Actual sales in period 1 were 10, whereas the forecast was 5.</a:t>
          </a:r>
        </a:p>
        <a:p>
          <a:r>
            <a:rPr lang="fr-FR" sz="1100"/>
            <a:t>- The forecasted sales volumes for periods 2, 3, and 4 have been significantly revised upward. </a:t>
          </a:r>
        </a:p>
        <a:p>
          <a:r>
            <a:rPr lang="fr-FR" sz="1100"/>
            <a:t>- The forecast for period 6 has been added/established.</a:t>
          </a:r>
          <a:br>
            <a:rPr lang="fr-FR" sz="1100"/>
          </a:br>
          <a:r>
            <a:rPr lang="fr-FR" sz="1100"/>
            <a:t>→ The production plan must be revised because stockouts are expected as it currently stands.</a:t>
          </a:r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25</xdr:col>
      <xdr:colOff>295275</xdr:colOff>
      <xdr:row>7</xdr:row>
      <xdr:rowOff>76200</xdr:rowOff>
    </xdr:to>
    <xdr:sp macro="" textlink="">
      <xdr:nvSpPr>
        <xdr:cNvPr id="4" name="ZoneTexte 3"/>
        <xdr:cNvSpPr txBox="1"/>
      </xdr:nvSpPr>
      <xdr:spPr>
        <a:xfrm>
          <a:off x="14611350" y="571500"/>
          <a:ext cx="52673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Update of the MPS to take into account the changes described earlier between period 1 and period 2.</a:t>
          </a:r>
        </a:p>
      </xdr:txBody>
    </xdr:sp>
    <xdr:clientData/>
  </xdr:twoCellAnchor>
  <xdr:twoCellAnchor>
    <xdr:from>
      <xdr:col>1</xdr:col>
      <xdr:colOff>19050</xdr:colOff>
      <xdr:row>7</xdr:row>
      <xdr:rowOff>104776</xdr:rowOff>
    </xdr:from>
    <xdr:to>
      <xdr:col>1</xdr:col>
      <xdr:colOff>2324100</xdr:colOff>
      <xdr:row>9</xdr:row>
      <xdr:rowOff>257176</xdr:rowOff>
    </xdr:to>
    <xdr:sp macro="" textlink="">
      <xdr:nvSpPr>
        <xdr:cNvPr id="5" name="ZoneTexte 4"/>
        <xdr:cNvSpPr txBox="1"/>
      </xdr:nvSpPr>
      <xdr:spPr>
        <a:xfrm>
          <a:off x="781050" y="1628776"/>
          <a:ext cx="23050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We take lot sizes and safety stock into account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2305050</xdr:colOff>
      <xdr:row>3</xdr:row>
      <xdr:rowOff>352425</xdr:rowOff>
    </xdr:to>
    <xdr:sp macro="" textlink="">
      <xdr:nvSpPr>
        <xdr:cNvPr id="6" name="ZoneTexte 5"/>
        <xdr:cNvSpPr txBox="1"/>
      </xdr:nvSpPr>
      <xdr:spPr>
        <a:xfrm>
          <a:off x="762000" y="381000"/>
          <a:ext cx="230505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Preliminary MPS established according to a leveled (smoothed) production logic</a:t>
          </a:r>
        </a:p>
      </xdr:txBody>
    </xdr:sp>
    <xdr:clientData/>
  </xdr:twoCellAnchor>
  <xdr:twoCellAnchor>
    <xdr:from>
      <xdr:col>1</xdr:col>
      <xdr:colOff>0</xdr:colOff>
      <xdr:row>3</xdr:row>
      <xdr:rowOff>80962</xdr:rowOff>
    </xdr:from>
    <xdr:to>
      <xdr:col>1</xdr:col>
      <xdr:colOff>19050</xdr:colOff>
      <xdr:row>8</xdr:row>
      <xdr:rowOff>180975</xdr:rowOff>
    </xdr:to>
    <xdr:cxnSp macro="">
      <xdr:nvCxnSpPr>
        <xdr:cNvPr id="7" name="Connecteur en arc 6"/>
        <xdr:cNvCxnSpPr>
          <a:stCxn id="6" idx="1"/>
          <a:endCxn id="5" idx="1"/>
        </xdr:cNvCxnSpPr>
      </xdr:nvCxnSpPr>
      <xdr:spPr>
        <a:xfrm rot="10800000" flipH="1" flipV="1">
          <a:off x="762000" y="652462"/>
          <a:ext cx="19050" cy="1243013"/>
        </a:xfrm>
        <a:prstGeom prst="curvedConnector3">
          <a:avLst>
            <a:gd name="adj1" fmla="val -16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2324100</xdr:colOff>
      <xdr:row>4</xdr:row>
      <xdr:rowOff>142875</xdr:rowOff>
    </xdr:from>
    <xdr:to>
      <xdr:col>10</xdr:col>
      <xdr:colOff>200025</xdr:colOff>
      <xdr:row>8</xdr:row>
      <xdr:rowOff>180976</xdr:rowOff>
    </xdr:to>
    <xdr:cxnSp macro="">
      <xdr:nvCxnSpPr>
        <xdr:cNvPr id="8" name="Connecteur en arc 7"/>
        <xdr:cNvCxnSpPr>
          <a:stCxn id="5" idx="3"/>
          <a:endCxn id="3" idx="1"/>
        </xdr:cNvCxnSpPr>
      </xdr:nvCxnSpPr>
      <xdr:spPr>
        <a:xfrm flipV="1">
          <a:off x="3086100" y="1095375"/>
          <a:ext cx="4781550" cy="800101"/>
        </a:xfrm>
        <a:prstGeom prst="curvedConnector3">
          <a:avLst>
            <a:gd name="adj1" fmla="val 6792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4</xdr:row>
      <xdr:rowOff>133350</xdr:rowOff>
    </xdr:from>
    <xdr:to>
      <xdr:col>19</xdr:col>
      <xdr:colOff>0</xdr:colOff>
      <xdr:row>4</xdr:row>
      <xdr:rowOff>142875</xdr:rowOff>
    </xdr:to>
    <xdr:cxnSp macro="">
      <xdr:nvCxnSpPr>
        <xdr:cNvPr id="9" name="Connecteur en arc 8"/>
        <xdr:cNvCxnSpPr>
          <a:stCxn id="3" idx="3"/>
          <a:endCxn id="4" idx="1"/>
        </xdr:cNvCxnSpPr>
      </xdr:nvCxnSpPr>
      <xdr:spPr>
        <a:xfrm flipV="1">
          <a:off x="13134975" y="1085850"/>
          <a:ext cx="1476375" cy="9525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9</xdr:col>
      <xdr:colOff>571500</xdr:colOff>
      <xdr:row>1</xdr:row>
      <xdr:rowOff>57150</xdr:rowOff>
    </xdr:to>
    <xdr:sp macro="" textlink="">
      <xdr:nvSpPr>
        <xdr:cNvPr id="11" name="ZoneTexte 10"/>
        <xdr:cNvSpPr txBox="1"/>
      </xdr:nvSpPr>
      <xdr:spPr>
        <a:xfrm>
          <a:off x="762000" y="0"/>
          <a:ext cx="67151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Projected available inventory = Previous available inventory + Production order for the period (MPS) – Forecast</a:t>
          </a:r>
          <a:endParaRPr lang="fr-FR" sz="1100"/>
        </a:p>
      </xdr:txBody>
    </xdr:sp>
    <xdr:clientData/>
  </xdr:twoCellAnchor>
  <xdr:twoCellAnchor>
    <xdr:from>
      <xdr:col>10</xdr:col>
      <xdr:colOff>257175</xdr:colOff>
      <xdr:row>17</xdr:row>
      <xdr:rowOff>57149</xdr:rowOff>
    </xdr:from>
    <xdr:to>
      <xdr:col>17</xdr:col>
      <xdr:colOff>104775</xdr:colOff>
      <xdr:row>20</xdr:row>
      <xdr:rowOff>123824</xdr:rowOff>
    </xdr:to>
    <xdr:sp macro="" textlink="">
      <xdr:nvSpPr>
        <xdr:cNvPr id="12" name="ZoneTexte 11"/>
        <xdr:cNvSpPr txBox="1"/>
      </xdr:nvSpPr>
      <xdr:spPr>
        <a:xfrm>
          <a:off x="7924800" y="3686174"/>
          <a:ext cx="5267325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Actual sales in period 1 were 5, while the forecast was also 5 — no forecast error for period 1.</a:t>
          </a:r>
          <a:endParaRPr lang="fr-F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B3:Z79"/>
  <sheetViews>
    <sheetView topLeftCell="C22" workbookViewId="0">
      <selection activeCell="T47" sqref="T47"/>
    </sheetView>
  </sheetViews>
  <sheetFormatPr baseColWidth="10" defaultRowHeight="14.75" x14ac:dyDescent="0.75"/>
  <cols>
    <col min="2" max="2" width="37.1328125" bestFit="1" customWidth="1"/>
    <col min="3" max="3" width="10" bestFit="1" customWidth="1"/>
    <col min="4" max="8" width="6.7265625" style="1" customWidth="1"/>
    <col min="11" max="11" width="37.7265625" bestFit="1" customWidth="1"/>
    <col min="12" max="12" width="10" bestFit="1" customWidth="1"/>
    <col min="13" max="17" width="6.7265625" customWidth="1"/>
    <col min="20" max="20" width="37.7265625" bestFit="1" customWidth="1"/>
    <col min="21" max="21" width="10" bestFit="1" customWidth="1"/>
    <col min="22" max="26" width="6.7265625" customWidth="1"/>
  </cols>
  <sheetData>
    <row r="3" spans="2:26" x14ac:dyDescent="0.75">
      <c r="D3" s="40" t="s">
        <v>4</v>
      </c>
      <c r="E3" s="40"/>
      <c r="F3" s="40"/>
      <c r="G3" s="40"/>
      <c r="H3" s="40"/>
    </row>
    <row r="4" spans="2:26" ht="29.5" x14ac:dyDescent="0.75">
      <c r="C4" s="5" t="s">
        <v>3</v>
      </c>
      <c r="D4" s="7">
        <v>1</v>
      </c>
      <c r="E4" s="7">
        <v>2</v>
      </c>
      <c r="F4" s="7">
        <v>3</v>
      </c>
      <c r="G4" s="7">
        <v>4</v>
      </c>
      <c r="H4" s="7">
        <v>5</v>
      </c>
      <c r="I4" s="2" t="s">
        <v>17</v>
      </c>
    </row>
    <row r="5" spans="2:26" x14ac:dyDescent="0.75">
      <c r="B5" s="6" t="s">
        <v>16</v>
      </c>
      <c r="C5" s="6"/>
      <c r="D5" s="7">
        <v>5</v>
      </c>
      <c r="E5" s="7">
        <v>5</v>
      </c>
      <c r="F5" s="7">
        <v>8</v>
      </c>
      <c r="G5" s="7">
        <v>10</v>
      </c>
      <c r="H5" s="7">
        <v>15</v>
      </c>
      <c r="I5">
        <f>SUM(D5:H5)</f>
        <v>43</v>
      </c>
    </row>
    <row r="6" spans="2:26" x14ac:dyDescent="0.75">
      <c r="B6" s="6" t="s">
        <v>1</v>
      </c>
      <c r="C6" s="6">
        <v>20</v>
      </c>
      <c r="D6" s="21">
        <f>C6+D7-D5</f>
        <v>25</v>
      </c>
      <c r="E6" s="21">
        <f>D6+E7-E5</f>
        <v>30</v>
      </c>
      <c r="F6" s="21">
        <f>E6+F7-F5</f>
        <v>32</v>
      </c>
      <c r="G6" s="21">
        <f>F6+G7-G5</f>
        <v>32</v>
      </c>
      <c r="H6" s="21">
        <f>G6+H7-H5</f>
        <v>27</v>
      </c>
    </row>
    <row r="7" spans="2:26" x14ac:dyDescent="0.75">
      <c r="B7" s="6" t="s">
        <v>7</v>
      </c>
      <c r="C7" s="6"/>
      <c r="D7" s="7">
        <v>10</v>
      </c>
      <c r="E7" s="7">
        <v>10</v>
      </c>
      <c r="F7" s="7">
        <v>10</v>
      </c>
      <c r="G7" s="7">
        <v>10</v>
      </c>
      <c r="H7" s="7">
        <v>10</v>
      </c>
      <c r="I7">
        <f t="shared" ref="I7" si="0">SUM(D7:H7)</f>
        <v>50</v>
      </c>
    </row>
    <row r="9" spans="2:26" x14ac:dyDescent="0.75">
      <c r="D9" s="40" t="s">
        <v>4</v>
      </c>
      <c r="E9" s="40"/>
      <c r="F9" s="40"/>
      <c r="G9" s="40"/>
      <c r="H9" s="40"/>
      <c r="M9" s="40" t="s">
        <v>4</v>
      </c>
      <c r="N9" s="40"/>
      <c r="O9" s="40"/>
      <c r="P9" s="40"/>
      <c r="Q9" s="40"/>
      <c r="V9" s="40" t="s">
        <v>4</v>
      </c>
      <c r="W9" s="40"/>
      <c r="X9" s="40"/>
      <c r="Y9" s="40"/>
      <c r="Z9" s="40"/>
    </row>
    <row r="10" spans="2:26" ht="29.5" x14ac:dyDescent="0.75">
      <c r="C10" s="5" t="s">
        <v>3</v>
      </c>
      <c r="D10" s="7">
        <v>1</v>
      </c>
      <c r="E10" s="7">
        <v>2</v>
      </c>
      <c r="F10" s="7">
        <v>3</v>
      </c>
      <c r="G10" s="7">
        <v>4</v>
      </c>
      <c r="H10" s="7">
        <v>5</v>
      </c>
      <c r="L10" s="5" t="s">
        <v>3</v>
      </c>
      <c r="M10" s="7">
        <v>2</v>
      </c>
      <c r="N10" s="7">
        <v>3</v>
      </c>
      <c r="O10" s="7">
        <v>4</v>
      </c>
      <c r="P10" s="7">
        <v>5</v>
      </c>
      <c r="Q10" s="7">
        <v>6</v>
      </c>
      <c r="U10" s="5" t="s">
        <v>3</v>
      </c>
      <c r="V10" s="7">
        <v>2</v>
      </c>
      <c r="W10" s="7">
        <v>3</v>
      </c>
      <c r="X10" s="7">
        <v>4</v>
      </c>
      <c r="Y10" s="7">
        <v>5</v>
      </c>
      <c r="Z10" s="7">
        <v>6</v>
      </c>
    </row>
    <row r="11" spans="2:26" x14ac:dyDescent="0.75">
      <c r="B11" s="6" t="s">
        <v>16</v>
      </c>
      <c r="C11" s="6"/>
      <c r="D11" s="7">
        <v>5</v>
      </c>
      <c r="E11" s="7">
        <v>5</v>
      </c>
      <c r="F11" s="7">
        <v>8</v>
      </c>
      <c r="G11" s="7">
        <v>10</v>
      </c>
      <c r="H11" s="7">
        <v>15</v>
      </c>
      <c r="K11" s="6" t="s">
        <v>16</v>
      </c>
      <c r="L11" s="6"/>
      <c r="M11" s="9">
        <v>20</v>
      </c>
      <c r="N11" s="9">
        <v>20</v>
      </c>
      <c r="O11" s="9">
        <v>20</v>
      </c>
      <c r="P11" s="9">
        <v>15</v>
      </c>
      <c r="Q11" s="9">
        <v>20</v>
      </c>
      <c r="T11" s="6" t="s">
        <v>16</v>
      </c>
      <c r="U11" s="6"/>
      <c r="V11" s="7">
        <v>20</v>
      </c>
      <c r="W11" s="7">
        <v>20</v>
      </c>
      <c r="X11" s="9">
        <v>20</v>
      </c>
      <c r="Y11" s="9">
        <v>15</v>
      </c>
      <c r="Z11" s="9">
        <v>20</v>
      </c>
    </row>
    <row r="12" spans="2:26" x14ac:dyDescent="0.75">
      <c r="B12" s="6" t="s">
        <v>1</v>
      </c>
      <c r="C12" s="6">
        <v>20</v>
      </c>
      <c r="D12" s="22">
        <f>C12+D13-D11</f>
        <v>15</v>
      </c>
      <c r="E12" s="22">
        <f>D12+E13-E11</f>
        <v>10</v>
      </c>
      <c r="F12" s="23">
        <f>E12+F13-F11</f>
        <v>32</v>
      </c>
      <c r="G12" s="23">
        <f>F12+G13-G11</f>
        <v>22</v>
      </c>
      <c r="H12" s="23">
        <f>G12+H13-H11</f>
        <v>7</v>
      </c>
      <c r="K12" s="6" t="s">
        <v>1</v>
      </c>
      <c r="L12" s="8">
        <v>10</v>
      </c>
      <c r="M12" s="24">
        <f>L12+M13-M11</f>
        <v>-10</v>
      </c>
      <c r="N12" s="24">
        <f>M12+N13-N11</f>
        <v>0</v>
      </c>
      <c r="O12" s="24">
        <f t="shared" ref="O12:Q12" si="1">N12+O13-O11</f>
        <v>-20</v>
      </c>
      <c r="P12" s="24">
        <f t="shared" si="1"/>
        <v>-35</v>
      </c>
      <c r="Q12" s="24">
        <f t="shared" si="1"/>
        <v>-55</v>
      </c>
      <c r="T12" s="6" t="s">
        <v>1</v>
      </c>
      <c r="U12" s="8">
        <v>10</v>
      </c>
      <c r="V12" s="24">
        <f>U12+V13-V11</f>
        <v>20</v>
      </c>
      <c r="W12" s="24">
        <f t="shared" ref="W12:Z12" si="2">V12+W13-W11</f>
        <v>30</v>
      </c>
      <c r="X12" s="24">
        <f t="shared" si="2"/>
        <v>10</v>
      </c>
      <c r="Y12" s="24">
        <f t="shared" si="2"/>
        <v>25</v>
      </c>
      <c r="Z12" s="24">
        <f t="shared" si="2"/>
        <v>5</v>
      </c>
    </row>
    <row r="13" spans="2:26" x14ac:dyDescent="0.75">
      <c r="B13" s="6" t="s">
        <v>2</v>
      </c>
      <c r="C13" s="6"/>
      <c r="D13" s="23"/>
      <c r="E13" s="23"/>
      <c r="F13" s="22">
        <v>30</v>
      </c>
      <c r="G13" s="23"/>
      <c r="H13" s="23"/>
      <c r="K13" s="6" t="s">
        <v>2</v>
      </c>
      <c r="L13" s="6"/>
      <c r="M13" s="7"/>
      <c r="N13" s="7">
        <v>30</v>
      </c>
      <c r="O13" s="7"/>
      <c r="P13" s="7"/>
      <c r="Q13" s="7"/>
      <c r="T13" s="6" t="s">
        <v>2</v>
      </c>
      <c r="U13" s="6"/>
      <c r="V13" s="22">
        <v>30</v>
      </c>
      <c r="W13" s="22">
        <v>30</v>
      </c>
      <c r="X13" s="22"/>
      <c r="Y13" s="22">
        <v>30</v>
      </c>
      <c r="Z13" s="22"/>
    </row>
    <row r="14" spans="2:26" x14ac:dyDescent="0.75">
      <c r="B14" s="11" t="s">
        <v>5</v>
      </c>
      <c r="K14" s="4" t="s">
        <v>5</v>
      </c>
      <c r="M14" s="1"/>
      <c r="N14" s="1"/>
      <c r="O14" s="1"/>
      <c r="P14" s="1"/>
      <c r="Q14" s="1"/>
      <c r="T14" s="4" t="s">
        <v>5</v>
      </c>
      <c r="V14" s="1"/>
      <c r="W14" s="1"/>
      <c r="X14" s="1"/>
      <c r="Y14" s="1"/>
      <c r="Z14" s="1"/>
    </row>
    <row r="15" spans="2:26" x14ac:dyDescent="0.75">
      <c r="B15" s="11" t="s">
        <v>6</v>
      </c>
      <c r="K15" s="4" t="s">
        <v>6</v>
      </c>
      <c r="M15" s="1"/>
      <c r="N15" s="1"/>
      <c r="O15" s="1"/>
      <c r="P15" s="1"/>
      <c r="Q15" s="1"/>
      <c r="T15" s="4" t="s">
        <v>6</v>
      </c>
      <c r="V15" s="1"/>
      <c r="W15" s="1"/>
      <c r="X15" s="1"/>
      <c r="Y15" s="1"/>
      <c r="Z15" s="1"/>
    </row>
    <row r="16" spans="2:26" x14ac:dyDescent="0.75">
      <c r="T16" s="3"/>
      <c r="U16" s="3"/>
      <c r="V16" s="3"/>
      <c r="W16" s="3"/>
      <c r="X16" s="3"/>
      <c r="Y16" s="3"/>
      <c r="Z16" s="3"/>
    </row>
    <row r="17" spans="2:26" s="35" customFormat="1" ht="15.5" thickBot="1" x14ac:dyDescent="0.9">
      <c r="D17" s="36"/>
      <c r="E17" s="36"/>
      <c r="F17" s="36"/>
      <c r="G17" s="36"/>
      <c r="H17" s="36"/>
      <c r="U17" s="37"/>
      <c r="V17" s="36"/>
      <c r="W17" s="36"/>
      <c r="X17" s="36"/>
      <c r="Y17" s="36"/>
      <c r="Z17" s="36"/>
    </row>
    <row r="18" spans="2:26" ht="15.5" thickTop="1" x14ac:dyDescent="0.75">
      <c r="T18" s="3"/>
      <c r="U18" s="3"/>
      <c r="V18" s="20"/>
      <c r="W18" s="20"/>
      <c r="X18" s="20"/>
      <c r="Y18" s="20"/>
      <c r="Z18" s="20"/>
    </row>
    <row r="19" spans="2:26" x14ac:dyDescent="0.75">
      <c r="T19" s="4"/>
      <c r="U19" s="3"/>
      <c r="V19" s="20"/>
      <c r="W19" s="20"/>
      <c r="X19" s="20"/>
      <c r="Y19" s="20"/>
      <c r="Z19" s="20"/>
    </row>
    <row r="20" spans="2:26" x14ac:dyDescent="0.75">
      <c r="T20" s="4"/>
      <c r="U20" s="3"/>
      <c r="V20" s="20"/>
      <c r="W20" s="20"/>
      <c r="X20" s="20"/>
      <c r="Y20" s="20"/>
      <c r="Z20" s="20"/>
    </row>
    <row r="21" spans="2:26" x14ac:dyDescent="0.75">
      <c r="T21" s="3"/>
      <c r="U21" s="3"/>
      <c r="V21" s="3"/>
      <c r="W21" s="3"/>
      <c r="X21" s="3"/>
      <c r="Y21" s="3"/>
      <c r="Z21" s="3"/>
    </row>
    <row r="22" spans="2:26" x14ac:dyDescent="0.75">
      <c r="D22" s="10" t="s">
        <v>9</v>
      </c>
      <c r="M22" s="10" t="s">
        <v>9</v>
      </c>
      <c r="N22" s="1"/>
      <c r="O22" s="1"/>
      <c r="P22" s="1"/>
      <c r="Q22" s="1"/>
      <c r="V22" s="10" t="s">
        <v>13</v>
      </c>
      <c r="W22" s="1"/>
      <c r="X22" s="1"/>
      <c r="Y22" s="1"/>
      <c r="Z22" s="1"/>
    </row>
    <row r="23" spans="2:26" x14ac:dyDescent="0.75">
      <c r="D23" s="40" t="s">
        <v>4</v>
      </c>
      <c r="E23" s="40"/>
      <c r="F23" s="40"/>
      <c r="G23" s="40"/>
      <c r="H23" s="40"/>
      <c r="M23" s="40" t="s">
        <v>4</v>
      </c>
      <c r="N23" s="40"/>
      <c r="O23" s="40"/>
      <c r="P23" s="40"/>
      <c r="Q23" s="40"/>
      <c r="V23" s="40" t="s">
        <v>4</v>
      </c>
      <c r="W23" s="40"/>
      <c r="X23" s="40"/>
      <c r="Y23" s="40"/>
      <c r="Z23" s="40"/>
    </row>
    <row r="24" spans="2:26" ht="29.5" x14ac:dyDescent="0.75">
      <c r="C24" s="5" t="s">
        <v>3</v>
      </c>
      <c r="D24" s="7">
        <v>1</v>
      </c>
      <c r="E24" s="7">
        <v>2</v>
      </c>
      <c r="F24" s="7">
        <v>3</v>
      </c>
      <c r="G24" s="7">
        <v>4</v>
      </c>
      <c r="H24" s="7">
        <v>5</v>
      </c>
      <c r="L24" s="5" t="s">
        <v>3</v>
      </c>
      <c r="M24" s="7">
        <v>2</v>
      </c>
      <c r="N24" s="7">
        <v>3</v>
      </c>
      <c r="O24" s="7">
        <v>4</v>
      </c>
      <c r="P24" s="7">
        <v>5</v>
      </c>
      <c r="Q24" s="7">
        <v>6</v>
      </c>
      <c r="T24" s="15"/>
      <c r="U24" s="17" t="s">
        <v>3</v>
      </c>
      <c r="V24" s="13">
        <v>2</v>
      </c>
      <c r="W24" s="13">
        <v>3</v>
      </c>
      <c r="X24" s="13">
        <v>4</v>
      </c>
      <c r="Y24" s="13">
        <v>5</v>
      </c>
      <c r="Z24" s="13">
        <v>6</v>
      </c>
    </row>
    <row r="25" spans="2:26" x14ac:dyDescent="0.75">
      <c r="B25" s="6" t="s">
        <v>16</v>
      </c>
      <c r="C25" s="6"/>
      <c r="D25" s="7">
        <v>5</v>
      </c>
      <c r="E25" s="7">
        <v>5</v>
      </c>
      <c r="F25" s="7">
        <v>8</v>
      </c>
      <c r="G25" s="7">
        <v>10</v>
      </c>
      <c r="H25" s="7">
        <v>15</v>
      </c>
      <c r="K25" s="12" t="s">
        <v>16</v>
      </c>
      <c r="L25" s="12"/>
      <c r="M25" s="13">
        <v>5</v>
      </c>
      <c r="N25" s="13">
        <v>8</v>
      </c>
      <c r="O25" s="13">
        <v>10</v>
      </c>
      <c r="P25" s="13">
        <v>15</v>
      </c>
      <c r="Q25" s="9">
        <v>20</v>
      </c>
      <c r="T25" s="12" t="s">
        <v>16</v>
      </c>
      <c r="U25" s="12"/>
      <c r="V25" s="13">
        <v>5</v>
      </c>
      <c r="W25" s="13">
        <v>8</v>
      </c>
      <c r="X25" s="13">
        <v>10</v>
      </c>
      <c r="Y25" s="13">
        <v>15</v>
      </c>
      <c r="Z25" s="13">
        <v>20</v>
      </c>
    </row>
    <row r="26" spans="2:26" x14ac:dyDescent="0.75">
      <c r="B26" s="8" t="s">
        <v>15</v>
      </c>
      <c r="C26" s="6"/>
      <c r="D26" s="9">
        <v>5</v>
      </c>
      <c r="E26" s="9">
        <v>3</v>
      </c>
      <c r="F26" s="9">
        <v>2</v>
      </c>
      <c r="G26" s="9">
        <v>0</v>
      </c>
      <c r="H26" s="9">
        <v>0</v>
      </c>
      <c r="K26" s="12" t="s">
        <v>15</v>
      </c>
      <c r="L26" s="12"/>
      <c r="M26" s="19" t="s">
        <v>11</v>
      </c>
      <c r="N26" s="19" t="s">
        <v>12</v>
      </c>
      <c r="O26" s="9">
        <v>0</v>
      </c>
      <c r="P26" s="9">
        <v>10</v>
      </c>
      <c r="Q26" s="9">
        <v>35</v>
      </c>
      <c r="T26" s="12" t="s">
        <v>15</v>
      </c>
      <c r="U26" s="12"/>
      <c r="V26" s="18" t="s">
        <v>11</v>
      </c>
      <c r="W26" s="18" t="s">
        <v>12</v>
      </c>
      <c r="X26" s="13">
        <v>0</v>
      </c>
      <c r="Y26" s="13">
        <v>10</v>
      </c>
      <c r="Z26" s="13">
        <v>35</v>
      </c>
    </row>
    <row r="27" spans="2:26" x14ac:dyDescent="0.75">
      <c r="B27" s="6" t="s">
        <v>1</v>
      </c>
      <c r="C27" s="6">
        <v>20</v>
      </c>
      <c r="D27" s="22">
        <f>C27+D29-MAX(D25,D26)</f>
        <v>15</v>
      </c>
      <c r="E27" s="22">
        <f>D27+E29-MAX(E25,E26)</f>
        <v>10</v>
      </c>
      <c r="F27" s="22">
        <f>E27+F29-MAX(F25,F26)</f>
        <v>32</v>
      </c>
      <c r="G27" s="22">
        <f>F27+G29-MAX(G25,G26)</f>
        <v>22</v>
      </c>
      <c r="H27" s="22">
        <f>G27+H29-MAX(H25,H26)</f>
        <v>7</v>
      </c>
      <c r="K27" s="12" t="s">
        <v>1</v>
      </c>
      <c r="L27" s="8">
        <v>15</v>
      </c>
      <c r="M27" s="22">
        <v>7</v>
      </c>
      <c r="N27" s="22">
        <v>20</v>
      </c>
      <c r="O27" s="22">
        <v>10</v>
      </c>
      <c r="P27" s="22">
        <v>-5</v>
      </c>
      <c r="Q27" s="22">
        <v>-40</v>
      </c>
      <c r="T27" s="12" t="s">
        <v>1</v>
      </c>
      <c r="U27" s="8">
        <v>15</v>
      </c>
      <c r="V27" s="13">
        <v>7</v>
      </c>
      <c r="W27" s="13">
        <v>20</v>
      </c>
      <c r="X27" s="13">
        <v>10</v>
      </c>
      <c r="Y27" s="9">
        <v>25</v>
      </c>
      <c r="Z27" s="9">
        <v>20</v>
      </c>
    </row>
    <row r="28" spans="2:26" x14ac:dyDescent="0.75">
      <c r="B28" s="8" t="s">
        <v>8</v>
      </c>
      <c r="C28" s="6"/>
      <c r="D28" s="22">
        <v>12</v>
      </c>
      <c r="E28" s="22"/>
      <c r="F28" s="22">
        <v>28</v>
      </c>
      <c r="G28" s="23"/>
      <c r="H28" s="23"/>
      <c r="K28" s="12" t="s">
        <v>8</v>
      </c>
      <c r="L28" s="12"/>
      <c r="M28" s="21">
        <v>7</v>
      </c>
      <c r="N28" s="21">
        <v>-32</v>
      </c>
      <c r="O28" s="21"/>
      <c r="P28" s="21"/>
      <c r="Q28" s="21"/>
      <c r="T28" s="12" t="s">
        <v>8</v>
      </c>
      <c r="U28" s="12"/>
      <c r="V28" s="21">
        <v>7</v>
      </c>
      <c r="W28" s="22">
        <v>13</v>
      </c>
      <c r="X28" s="22"/>
      <c r="Y28" s="22">
        <v>20</v>
      </c>
      <c r="Z28" s="22">
        <v>-5</v>
      </c>
    </row>
    <row r="29" spans="2:26" x14ac:dyDescent="0.75">
      <c r="B29" s="6" t="s">
        <v>2</v>
      </c>
      <c r="C29" s="6"/>
      <c r="D29" s="7"/>
      <c r="E29" s="7"/>
      <c r="F29" s="7">
        <v>30</v>
      </c>
      <c r="G29" s="7"/>
      <c r="H29" s="7"/>
      <c r="K29" s="12" t="s">
        <v>2</v>
      </c>
      <c r="L29" s="12"/>
      <c r="M29" s="13"/>
      <c r="N29" s="13">
        <v>30</v>
      </c>
      <c r="O29" s="13"/>
      <c r="P29" s="13"/>
      <c r="Q29" s="13"/>
      <c r="T29" s="12" t="s">
        <v>2</v>
      </c>
      <c r="U29" s="12"/>
      <c r="V29" s="21"/>
      <c r="W29" s="22">
        <v>30</v>
      </c>
      <c r="X29" s="22"/>
      <c r="Y29" s="22">
        <v>30</v>
      </c>
      <c r="Z29" s="22">
        <v>30</v>
      </c>
    </row>
    <row r="30" spans="2:26" x14ac:dyDescent="0.75">
      <c r="B30" s="4" t="s">
        <v>5</v>
      </c>
      <c r="K30" s="14" t="s">
        <v>5</v>
      </c>
      <c r="L30" s="15"/>
      <c r="M30" s="16"/>
      <c r="N30" s="16"/>
      <c r="O30" s="16"/>
      <c r="P30" s="16"/>
      <c r="Q30" s="16"/>
      <c r="T30" s="14" t="s">
        <v>5</v>
      </c>
      <c r="U30" s="15"/>
      <c r="V30" s="16"/>
      <c r="W30" s="16"/>
      <c r="X30" s="16"/>
      <c r="Y30" s="16"/>
      <c r="Z30" s="16"/>
    </row>
    <row r="31" spans="2:26" x14ac:dyDescent="0.75">
      <c r="B31" s="4" t="s">
        <v>6</v>
      </c>
      <c r="K31" s="4" t="s">
        <v>6</v>
      </c>
      <c r="M31" s="1"/>
      <c r="N31" s="1"/>
      <c r="O31" s="1"/>
      <c r="P31" s="1"/>
      <c r="Q31" s="1"/>
      <c r="T31" s="4" t="s">
        <v>6</v>
      </c>
      <c r="V31" s="1"/>
      <c r="W31" s="1"/>
      <c r="X31" s="1"/>
      <c r="Y31" s="1"/>
      <c r="Z31" s="1"/>
    </row>
    <row r="32" spans="2:26" x14ac:dyDescent="0.75">
      <c r="M32" s="1"/>
      <c r="N32" s="1"/>
      <c r="O32" s="1"/>
      <c r="P32" s="1"/>
      <c r="Q32" s="1"/>
      <c r="V32" s="1"/>
      <c r="W32" s="1"/>
      <c r="X32" s="1"/>
      <c r="Y32" s="1"/>
      <c r="Z32" s="1"/>
    </row>
    <row r="33" spans="2:26" x14ac:dyDescent="0.75">
      <c r="D33" s="10" t="s">
        <v>10</v>
      </c>
      <c r="M33" s="10" t="s">
        <v>10</v>
      </c>
      <c r="N33" s="1"/>
      <c r="O33" s="1"/>
      <c r="P33" s="1"/>
      <c r="Q33" s="1"/>
      <c r="V33" s="10" t="s">
        <v>14</v>
      </c>
      <c r="W33" s="1"/>
      <c r="X33" s="1"/>
      <c r="Y33" s="1"/>
      <c r="Z33" s="1"/>
    </row>
    <row r="34" spans="2:26" x14ac:dyDescent="0.75">
      <c r="D34" s="40" t="s">
        <v>4</v>
      </c>
      <c r="E34" s="40"/>
      <c r="F34" s="40"/>
      <c r="G34" s="40"/>
      <c r="H34" s="40"/>
      <c r="K34" s="15"/>
      <c r="L34" s="15"/>
      <c r="M34" s="41" t="s">
        <v>4</v>
      </c>
      <c r="N34" s="41"/>
      <c r="O34" s="41"/>
      <c r="P34" s="41"/>
      <c r="Q34" s="41"/>
      <c r="T34" s="15"/>
      <c r="U34" s="15"/>
      <c r="V34" s="41" t="s">
        <v>4</v>
      </c>
      <c r="W34" s="41"/>
      <c r="X34" s="41"/>
      <c r="Y34" s="41"/>
      <c r="Z34" s="41"/>
    </row>
    <row r="35" spans="2:26" ht="29.5" x14ac:dyDescent="0.75">
      <c r="C35" s="5" t="s">
        <v>3</v>
      </c>
      <c r="D35" s="7">
        <v>1</v>
      </c>
      <c r="E35" s="7">
        <v>2</v>
      </c>
      <c r="F35" s="7">
        <v>3</v>
      </c>
      <c r="G35" s="7">
        <v>4</v>
      </c>
      <c r="H35" s="7">
        <v>5</v>
      </c>
      <c r="K35" s="15"/>
      <c r="L35" s="17" t="s">
        <v>3</v>
      </c>
      <c r="M35" s="13">
        <v>2</v>
      </c>
      <c r="N35" s="13">
        <v>3</v>
      </c>
      <c r="O35" s="13">
        <v>4</v>
      </c>
      <c r="P35" s="13">
        <v>5</v>
      </c>
      <c r="Q35" s="13">
        <v>6</v>
      </c>
      <c r="T35" s="15"/>
      <c r="U35" s="17" t="s">
        <v>3</v>
      </c>
      <c r="V35" s="13">
        <v>2</v>
      </c>
      <c r="W35" s="13">
        <v>3</v>
      </c>
      <c r="X35" s="13">
        <v>4</v>
      </c>
      <c r="Y35" s="13">
        <v>5</v>
      </c>
      <c r="Z35" s="13">
        <v>6</v>
      </c>
    </row>
    <row r="36" spans="2:26" x14ac:dyDescent="0.75">
      <c r="B36" s="6" t="s">
        <v>16</v>
      </c>
      <c r="C36" s="6"/>
      <c r="D36" s="7">
        <v>5</v>
      </c>
      <c r="E36" s="7">
        <v>5</v>
      </c>
      <c r="F36" s="7">
        <v>8</v>
      </c>
      <c r="G36" s="7">
        <v>10</v>
      </c>
      <c r="H36" s="7">
        <v>15</v>
      </c>
      <c r="K36" s="12" t="s">
        <v>0</v>
      </c>
      <c r="L36" s="12"/>
      <c r="M36" s="13">
        <v>5</v>
      </c>
      <c r="N36" s="13">
        <v>8</v>
      </c>
      <c r="O36" s="13">
        <v>10</v>
      </c>
      <c r="P36" s="13">
        <v>15</v>
      </c>
      <c r="Q36" s="9">
        <v>20</v>
      </c>
      <c r="T36" s="12" t="s">
        <v>16</v>
      </c>
      <c r="U36" s="12"/>
      <c r="V36" s="13">
        <v>5</v>
      </c>
      <c r="W36" s="13">
        <v>8</v>
      </c>
      <c r="X36" s="13">
        <v>10</v>
      </c>
      <c r="Y36" s="13">
        <v>15</v>
      </c>
      <c r="Z36" s="13">
        <v>20</v>
      </c>
    </row>
    <row r="37" spans="2:26" x14ac:dyDescent="0.75">
      <c r="B37" s="8" t="s">
        <v>15</v>
      </c>
      <c r="C37" s="6"/>
      <c r="D37" s="9">
        <v>5</v>
      </c>
      <c r="E37" s="9">
        <v>3</v>
      </c>
      <c r="F37" s="9">
        <v>2</v>
      </c>
      <c r="G37" s="9">
        <v>0</v>
      </c>
      <c r="H37" s="9">
        <v>0</v>
      </c>
      <c r="K37" s="12" t="s">
        <v>15</v>
      </c>
      <c r="L37" s="12"/>
      <c r="M37" s="19" t="s">
        <v>11</v>
      </c>
      <c r="N37" s="19" t="s">
        <v>12</v>
      </c>
      <c r="O37" s="9">
        <v>0</v>
      </c>
      <c r="P37" s="9">
        <v>10</v>
      </c>
      <c r="Q37" s="9">
        <v>35</v>
      </c>
      <c r="T37" s="12" t="s">
        <v>15</v>
      </c>
      <c r="U37" s="12"/>
      <c r="V37" s="18" t="s">
        <v>11</v>
      </c>
      <c r="W37" s="18" t="s">
        <v>12</v>
      </c>
      <c r="X37" s="13">
        <v>0</v>
      </c>
      <c r="Y37" s="13">
        <v>10</v>
      </c>
      <c r="Z37" s="13">
        <v>35</v>
      </c>
    </row>
    <row r="38" spans="2:26" x14ac:dyDescent="0.75">
      <c r="B38" s="6" t="s">
        <v>1</v>
      </c>
      <c r="C38" s="6">
        <v>20</v>
      </c>
      <c r="D38" s="23">
        <v>15</v>
      </c>
      <c r="E38" s="23">
        <v>10</v>
      </c>
      <c r="F38" s="23">
        <v>32</v>
      </c>
      <c r="G38" s="23">
        <v>22</v>
      </c>
      <c r="H38" s="23">
        <v>7</v>
      </c>
      <c r="K38" s="12" t="s">
        <v>1</v>
      </c>
      <c r="L38" s="8">
        <v>15</v>
      </c>
      <c r="M38" s="21">
        <v>7</v>
      </c>
      <c r="N38" s="21">
        <v>20</v>
      </c>
      <c r="O38" s="21">
        <v>10</v>
      </c>
      <c r="P38" s="21">
        <v>-5</v>
      </c>
      <c r="Q38" s="21">
        <v>-40</v>
      </c>
      <c r="T38" s="12" t="s">
        <v>1</v>
      </c>
      <c r="U38" s="8">
        <v>15</v>
      </c>
      <c r="V38" s="21">
        <v>7</v>
      </c>
      <c r="W38" s="22">
        <v>20</v>
      </c>
      <c r="X38" s="22">
        <v>10</v>
      </c>
      <c r="Y38" s="22">
        <v>25</v>
      </c>
      <c r="Z38" s="22">
        <v>20</v>
      </c>
    </row>
    <row r="39" spans="2:26" x14ac:dyDescent="0.75">
      <c r="B39" s="8" t="s">
        <v>8</v>
      </c>
      <c r="C39" s="6"/>
      <c r="D39" s="23">
        <v>12</v>
      </c>
      <c r="E39" s="23"/>
      <c r="F39" s="22">
        <v>40</v>
      </c>
      <c r="G39" s="23"/>
      <c r="H39" s="23"/>
      <c r="K39" s="12" t="s">
        <v>8</v>
      </c>
      <c r="L39" s="12"/>
      <c r="M39" s="21">
        <v>7</v>
      </c>
      <c r="N39" s="21">
        <v>-25</v>
      </c>
      <c r="O39" s="21"/>
      <c r="P39" s="21"/>
      <c r="Q39" s="21"/>
      <c r="T39" s="12" t="s">
        <v>8</v>
      </c>
      <c r="U39" s="12"/>
      <c r="V39" s="21">
        <v>7</v>
      </c>
      <c r="W39" s="22">
        <v>20</v>
      </c>
      <c r="X39" s="22"/>
      <c r="Y39" s="22">
        <v>40</v>
      </c>
      <c r="Z39" s="22">
        <v>35</v>
      </c>
    </row>
    <row r="40" spans="2:26" x14ac:dyDescent="0.75">
      <c r="B40" s="6" t="s">
        <v>2</v>
      </c>
      <c r="C40" s="6"/>
      <c r="D40" s="7"/>
      <c r="E40" s="7"/>
      <c r="F40" s="7">
        <v>30</v>
      </c>
      <c r="G40" s="7"/>
      <c r="H40" s="7"/>
      <c r="K40" s="12" t="s">
        <v>2</v>
      </c>
      <c r="L40" s="12"/>
      <c r="M40" s="13"/>
      <c r="N40" s="13">
        <v>30</v>
      </c>
      <c r="O40" s="13"/>
      <c r="P40" s="13"/>
      <c r="Q40" s="13"/>
      <c r="T40" s="12" t="s">
        <v>2</v>
      </c>
      <c r="U40" s="12"/>
      <c r="V40" s="21"/>
      <c r="W40" s="22">
        <v>30</v>
      </c>
      <c r="X40" s="22"/>
      <c r="Y40" s="22">
        <v>30</v>
      </c>
      <c r="Z40" s="22">
        <v>30</v>
      </c>
    </row>
    <row r="41" spans="2:26" x14ac:dyDescent="0.75">
      <c r="B41" s="4" t="s">
        <v>5</v>
      </c>
      <c r="K41" s="14" t="s">
        <v>5</v>
      </c>
      <c r="L41" s="15"/>
      <c r="M41" s="16"/>
      <c r="N41" s="16"/>
      <c r="O41" s="16"/>
      <c r="P41" s="16"/>
      <c r="Q41" s="16"/>
      <c r="T41" s="14" t="s">
        <v>5</v>
      </c>
      <c r="U41" s="15"/>
      <c r="V41" s="16"/>
      <c r="W41" s="16"/>
      <c r="X41" s="16"/>
      <c r="Y41" s="16"/>
      <c r="Z41" s="16"/>
    </row>
    <row r="42" spans="2:26" x14ac:dyDescent="0.75">
      <c r="B42" s="4" t="s">
        <v>6</v>
      </c>
      <c r="K42" s="14" t="s">
        <v>6</v>
      </c>
      <c r="L42" s="15"/>
      <c r="M42" s="16"/>
      <c r="N42" s="16"/>
      <c r="O42" s="16"/>
      <c r="P42" s="16"/>
      <c r="Q42" s="16"/>
      <c r="T42" s="14" t="s">
        <v>6</v>
      </c>
      <c r="U42" s="15"/>
      <c r="V42" s="16"/>
      <c r="W42" s="16"/>
      <c r="X42" s="16"/>
      <c r="Y42" s="16"/>
      <c r="Z42" s="16"/>
    </row>
    <row r="48" spans="2:26" x14ac:dyDescent="0.75">
      <c r="D48" s="10" t="s">
        <v>9</v>
      </c>
    </row>
    <row r="49" spans="2:8" x14ac:dyDescent="0.75">
      <c r="D49" s="40" t="s">
        <v>4</v>
      </c>
      <c r="E49" s="40"/>
      <c r="F49" s="40"/>
      <c r="G49" s="40"/>
      <c r="H49" s="40"/>
    </row>
    <row r="50" spans="2:8" ht="29.5" x14ac:dyDescent="0.75">
      <c r="C50" s="5" t="s">
        <v>3</v>
      </c>
      <c r="D50" s="30">
        <v>1</v>
      </c>
      <c r="E50" s="30">
        <v>2</v>
      </c>
      <c r="F50" s="30">
        <v>3</v>
      </c>
      <c r="G50" s="30">
        <v>4</v>
      </c>
      <c r="H50" s="30">
        <v>5</v>
      </c>
    </row>
    <row r="51" spans="2:8" x14ac:dyDescent="0.75">
      <c r="B51" s="6" t="s">
        <v>16</v>
      </c>
      <c r="C51" s="6"/>
      <c r="D51" s="24">
        <v>5</v>
      </c>
      <c r="E51" s="24">
        <v>5</v>
      </c>
      <c r="F51" s="24">
        <v>8</v>
      </c>
      <c r="G51" s="24">
        <v>10</v>
      </c>
      <c r="H51" s="24">
        <v>15</v>
      </c>
    </row>
    <row r="52" spans="2:8" x14ac:dyDescent="0.75">
      <c r="B52" s="8" t="s">
        <v>15</v>
      </c>
      <c r="C52" s="6"/>
      <c r="D52" s="31">
        <v>5</v>
      </c>
      <c r="E52" s="31">
        <v>3</v>
      </c>
      <c r="F52" s="31">
        <v>2</v>
      </c>
      <c r="G52" s="31">
        <v>0</v>
      </c>
      <c r="H52" s="31">
        <v>0</v>
      </c>
    </row>
    <row r="53" spans="2:8" x14ac:dyDescent="0.75">
      <c r="B53" s="6" t="s">
        <v>1</v>
      </c>
      <c r="C53">
        <v>20</v>
      </c>
      <c r="D53" s="26">
        <f>C53+D56-MAX(D51,D52)</f>
        <v>15</v>
      </c>
      <c r="E53" s="26">
        <f>D53+E56-MAX(E51,E52)</f>
        <v>10</v>
      </c>
      <c r="F53" s="26">
        <f>E53+F56-MAX(F51,F52)</f>
        <v>32</v>
      </c>
      <c r="G53" s="26">
        <f>F53+G56-MAX(G51,G52)</f>
        <v>22</v>
      </c>
      <c r="H53" s="26">
        <f>G53+H56-MAX(H51,H52)</f>
        <v>7</v>
      </c>
    </row>
    <row r="54" spans="2:8" x14ac:dyDescent="0.75">
      <c r="B54" s="32" t="s">
        <v>18</v>
      </c>
      <c r="C54" s="32"/>
      <c r="D54" s="33">
        <f t="array" ref="D54">MIN(IF(ISBLANK(D56:$H56),257,COLUMN(D56:$H56)-COLUMN(D56)))</f>
        <v>2</v>
      </c>
      <c r="E54" s="34">
        <f t="array" ref="E54">MIN(IF(ISBLANK(F56:$H56),257,COLUMN(F56:$H56)-COLUMN(E56)))</f>
        <v>1</v>
      </c>
      <c r="F54" s="34">
        <f t="array" ref="F54">MIN(IF(ISBLANK(G56:$H56),257,COLUMN(G56:$H56)-COLUMN(F56)))</f>
        <v>257</v>
      </c>
      <c r="G54" s="34">
        <f t="array" ref="G54">MIN(IF(ISBLANK(H56:$H56),257,COLUMN(H56:$H56)-COLUMN(G56)))</f>
        <v>257</v>
      </c>
      <c r="H54" s="34">
        <f t="array" ref="H54">MIN(IF(ISBLANK($H56:I56),257,COLUMN($H56:I56)-COLUMN(H56)))</f>
        <v>257</v>
      </c>
    </row>
    <row r="55" spans="2:8" x14ac:dyDescent="0.75">
      <c r="B55" s="8" t="s">
        <v>8</v>
      </c>
      <c r="C55" s="6"/>
      <c r="D55" s="29">
        <f ca="1">IF(D54&lt;&gt;257,C53+D56-SUM(OFFSET(D52,0,0,1,D54)),"")</f>
        <v>12</v>
      </c>
      <c r="E55" s="27" t="str">
        <f ca="1">IF(ISBLANK(E56)=FALSE,IF(E54&lt;&gt;257,E56-SUM(OFFSET(E52,0,0,1,MAX(E54,1))),E56-SUM(E52:$H52)),"")</f>
        <v/>
      </c>
      <c r="F55" s="27">
        <f ca="1">IF(ISBLANK(F56)=FALSE,IF(F54&lt;&gt;257,F56-SUM(OFFSET(F52,0,0,1,MAX(F54,1))),F56-SUM(F52:$H52)),"")</f>
        <v>28</v>
      </c>
      <c r="G55" s="27" t="str">
        <f ca="1">IF(ISBLANK(G56)=FALSE,IF(G54&lt;&gt;257,G56-SUM(OFFSET(G52,0,0,1,MAX(G54,1))),G56-SUM(G52:$H52)),"")</f>
        <v/>
      </c>
      <c r="H55" s="27" t="str">
        <f ca="1">IF(ISBLANK(H56)=FALSE,IF(H54&lt;&gt;257,H56-SUM(OFFSET(H52,0,0,1,MAX(H54,1))),H56-SUM(H52:$H52)),"")</f>
        <v/>
      </c>
    </row>
    <row r="56" spans="2:8" x14ac:dyDescent="0.75">
      <c r="B56" s="6" t="s">
        <v>2</v>
      </c>
      <c r="C56" s="6"/>
      <c r="D56" s="28"/>
      <c r="E56" s="25"/>
      <c r="F56" s="25">
        <v>30</v>
      </c>
      <c r="G56" s="25"/>
      <c r="H56" s="25"/>
    </row>
    <row r="57" spans="2:8" x14ac:dyDescent="0.75">
      <c r="B57" s="4"/>
    </row>
    <row r="58" spans="2:8" x14ac:dyDescent="0.75">
      <c r="B58" s="4"/>
    </row>
    <row r="59" spans="2:8" x14ac:dyDescent="0.75">
      <c r="D59" s="10" t="s">
        <v>10</v>
      </c>
    </row>
    <row r="60" spans="2:8" x14ac:dyDescent="0.75">
      <c r="D60" s="40" t="s">
        <v>4</v>
      </c>
      <c r="E60" s="40"/>
      <c r="F60" s="40"/>
      <c r="G60" s="40"/>
      <c r="H60" s="40"/>
    </row>
    <row r="61" spans="2:8" ht="29.5" x14ac:dyDescent="0.75">
      <c r="C61" s="5" t="s">
        <v>3</v>
      </c>
      <c r="D61" s="30">
        <v>2</v>
      </c>
      <c r="E61" s="30">
        <v>3</v>
      </c>
      <c r="F61" s="30">
        <v>4</v>
      </c>
      <c r="G61" s="30">
        <v>5</v>
      </c>
      <c r="H61" s="30">
        <v>6</v>
      </c>
    </row>
    <row r="62" spans="2:8" x14ac:dyDescent="0.75">
      <c r="B62" s="6" t="s">
        <v>16</v>
      </c>
      <c r="C62" s="6"/>
      <c r="D62" s="24">
        <v>5</v>
      </c>
      <c r="E62" s="24">
        <v>8</v>
      </c>
      <c r="F62" s="24">
        <v>10</v>
      </c>
      <c r="G62" s="24">
        <v>15</v>
      </c>
      <c r="H62" s="24">
        <v>20</v>
      </c>
    </row>
    <row r="63" spans="2:8" x14ac:dyDescent="0.75">
      <c r="B63" s="8" t="s">
        <v>15</v>
      </c>
      <c r="C63" s="6"/>
      <c r="D63" s="31">
        <v>8</v>
      </c>
      <c r="E63" s="31">
        <v>17</v>
      </c>
      <c r="F63" s="31">
        <v>0</v>
      </c>
      <c r="G63" s="31">
        <v>10</v>
      </c>
      <c r="H63" s="31">
        <v>35</v>
      </c>
    </row>
    <row r="64" spans="2:8" x14ac:dyDescent="0.75">
      <c r="B64" s="6" t="s">
        <v>1</v>
      </c>
      <c r="C64">
        <v>15</v>
      </c>
      <c r="D64" s="26">
        <f>C64+D68-MAX(D62,D63)</f>
        <v>7</v>
      </c>
      <c r="E64" s="26">
        <f>D64+E68-MAX(E62,E63)</f>
        <v>20</v>
      </c>
      <c r="F64" s="26">
        <f>E64+F68-MAX(F62,F63)</f>
        <v>10</v>
      </c>
      <c r="G64" s="26">
        <f>F64+G68-MAX(G62,G63)</f>
        <v>-5</v>
      </c>
      <c r="H64" s="26">
        <f>G64+H68-MAX(H62,H63)</f>
        <v>-40</v>
      </c>
    </row>
    <row r="65" spans="2:8" x14ac:dyDescent="0.75">
      <c r="B65" s="32" t="s">
        <v>18</v>
      </c>
      <c r="C65" s="32"/>
      <c r="D65" s="33">
        <f t="array" ref="D65">MIN(IF(ISBLANK(D68:$H68),257,COLUMN(D68:$H68)-COLUMN(D68)))</f>
        <v>1</v>
      </c>
      <c r="E65" s="34">
        <f t="array" ref="E65">MIN(IF(ISBLANK(F68:$H68),257,COLUMN(F68:$H68)-COLUMN(E68)))</f>
        <v>257</v>
      </c>
      <c r="F65" s="34">
        <f t="array" ref="F65">MIN(IF(ISBLANK(G68:$H68),257,COLUMN(G68:$H68)-COLUMN(F68)))</f>
        <v>257</v>
      </c>
      <c r="G65" s="34">
        <f t="array" ref="G65">MIN(IF(ISBLANK(H68:$H68),257,COLUMN(H68:$H68)-COLUMN(G68)))</f>
        <v>257</v>
      </c>
      <c r="H65" s="34">
        <f t="array" ref="H65">MIN(IF(ISBLANK($H68:I68),257,COLUMN($H68:I68)-COLUMN(H68)))</f>
        <v>257</v>
      </c>
    </row>
    <row r="66" spans="2:8" x14ac:dyDescent="0.75">
      <c r="B66" s="32" t="s">
        <v>19</v>
      </c>
      <c r="C66" s="32"/>
      <c r="D66" s="33"/>
      <c r="E66" s="34">
        <f t="array" ref="E66">MIN(IF(ISBLANK($D68:D68),COLUMN(E68)-COLUMN($D68),COLUMN(E68)-COLUMN($D68:D68)))</f>
        <v>1</v>
      </c>
      <c r="F66" s="34">
        <f t="array" ref="F66">MIN(IF(ISBLANK($D68:E68),COLUMN(F68)-COLUMN($D68),COLUMN(F68)-COLUMN($D68:E68)))</f>
        <v>1</v>
      </c>
      <c r="G66" s="34">
        <f t="array" ref="G66">MIN(IF(ISBLANK($D68:F68),COLUMN(G68)-COLUMN($D68),COLUMN(G68)-COLUMN($D68:F68)))</f>
        <v>2</v>
      </c>
      <c r="H66" s="34">
        <f t="array" ref="H66">MIN(IF(ISBLANK($D68:G68),COLUMN(H68)-COLUMN($D68),COLUMN(H68)-COLUMN($D68:G68)))</f>
        <v>3</v>
      </c>
    </row>
    <row r="67" spans="2:8" ht="15" customHeight="1" x14ac:dyDescent="0.75">
      <c r="B67" s="8" t="s">
        <v>8</v>
      </c>
      <c r="C67" s="6"/>
      <c r="D67" s="29">
        <f ca="1">IF(D65&lt;&gt;257,C64+D68-SUM(OFFSET(D63,0,0,1,D65)),"")</f>
        <v>7</v>
      </c>
      <c r="E67" s="27">
        <f ca="1">IF(ISBLANK(E68)=FALSE,IF(E65&lt;&gt;257,OFFSET(E67,0,-E66)+E68-SUM(OFFSET(E63,0,0,1,MAX(E65,1))),OFFSET(E67,0,-E66)+E68-SUM(E63:$H63)),"")</f>
        <v>-25</v>
      </c>
      <c r="F67" s="27" t="str">
        <f ca="1">IF(ISBLANK(F68)=FALSE,IF(F65&lt;&gt;257,OFFSET(F67,0,-F66)+F68-SUM(OFFSET(F63,0,0,1,MAX(F65,1))),OFFSET(F67,0,-F66)+F68-SUM(F63:$H63)),"")</f>
        <v/>
      </c>
      <c r="G67" s="27" t="str">
        <f ca="1">IF(ISBLANK(G68)=FALSE,IF(G65&lt;&gt;257,OFFSET(G67,0,-G66)+G68-SUM(OFFSET(G63,0,0,1,MAX(G65,1))),OFFSET(G67,0,-G66)+G68-SUM(G63:$H63)),"")</f>
        <v/>
      </c>
      <c r="H67" s="27" t="str">
        <f ca="1">IF(ISBLANK(H68)=FALSE,IF(H65&lt;&gt;257,OFFSET(H67,0,-H66)+H68-SUM(OFFSET(H63,0,0,1,MAX(H65,1))),OFFSET(H67,0,-H66)+H68-SUM(H63:$H63)),"")</f>
        <v/>
      </c>
    </row>
    <row r="68" spans="2:8" x14ac:dyDescent="0.75">
      <c r="B68" s="6" t="s">
        <v>2</v>
      </c>
      <c r="C68" s="6"/>
      <c r="D68" s="28"/>
      <c r="E68" s="25">
        <v>30</v>
      </c>
      <c r="F68" s="25"/>
      <c r="G68" s="25"/>
      <c r="H68" s="25"/>
    </row>
    <row r="69" spans="2:8" x14ac:dyDescent="0.75">
      <c r="B69" s="4"/>
    </row>
    <row r="70" spans="2:8" x14ac:dyDescent="0.75">
      <c r="B70" s="4"/>
    </row>
    <row r="71" spans="2:8" x14ac:dyDescent="0.75">
      <c r="D71" s="30">
        <v>2</v>
      </c>
      <c r="E71" s="30">
        <v>3</v>
      </c>
      <c r="F71" s="30">
        <v>4</v>
      </c>
      <c r="G71" s="30">
        <v>5</v>
      </c>
      <c r="H71" s="30">
        <v>6</v>
      </c>
    </row>
    <row r="72" spans="2:8" x14ac:dyDescent="0.75">
      <c r="D72" s="24">
        <v>5</v>
      </c>
      <c r="E72" s="24">
        <v>8</v>
      </c>
      <c r="F72" s="24">
        <v>10</v>
      </c>
      <c r="G72" s="24">
        <v>15</v>
      </c>
      <c r="H72" s="24">
        <v>20</v>
      </c>
    </row>
    <row r="73" spans="2:8" x14ac:dyDescent="0.75">
      <c r="D73" s="31">
        <f>3+5</f>
        <v>8</v>
      </c>
      <c r="E73" s="31">
        <f>2+15</f>
        <v>17</v>
      </c>
      <c r="F73" s="31">
        <v>0</v>
      </c>
      <c r="G73" s="31">
        <v>10</v>
      </c>
      <c r="H73" s="31">
        <v>35</v>
      </c>
    </row>
    <row r="74" spans="2:8" x14ac:dyDescent="0.75">
      <c r="C74">
        <v>15</v>
      </c>
    </row>
    <row r="76" spans="2:8" x14ac:dyDescent="0.75">
      <c r="D76" s="30">
        <v>1</v>
      </c>
      <c r="E76" s="30">
        <v>2</v>
      </c>
      <c r="F76" s="30">
        <v>3</v>
      </c>
      <c r="G76" s="30">
        <v>4</v>
      </c>
      <c r="H76" s="30">
        <v>5</v>
      </c>
    </row>
    <row r="77" spans="2:8" x14ac:dyDescent="0.75">
      <c r="D77" s="24">
        <v>5</v>
      </c>
      <c r="E77" s="24">
        <v>5</v>
      </c>
      <c r="F77" s="24">
        <v>8</v>
      </c>
      <c r="G77" s="24">
        <v>10</v>
      </c>
      <c r="H77" s="24">
        <v>15</v>
      </c>
    </row>
    <row r="78" spans="2:8" x14ac:dyDescent="0.75">
      <c r="D78" s="31">
        <v>5</v>
      </c>
      <c r="E78" s="31">
        <v>3</v>
      </c>
      <c r="F78" s="31">
        <v>2</v>
      </c>
      <c r="G78" s="31">
        <v>0</v>
      </c>
      <c r="H78" s="31">
        <v>0</v>
      </c>
    </row>
    <row r="79" spans="2:8" x14ac:dyDescent="0.75">
      <c r="C79" s="6">
        <v>20</v>
      </c>
    </row>
  </sheetData>
  <mergeCells count="12">
    <mergeCell ref="V23:Z23"/>
    <mergeCell ref="V34:Z34"/>
    <mergeCell ref="D49:H49"/>
    <mergeCell ref="D60:H60"/>
    <mergeCell ref="D3:H3"/>
    <mergeCell ref="D9:H9"/>
    <mergeCell ref="M9:Q9"/>
    <mergeCell ref="V9:Z9"/>
    <mergeCell ref="D23:H23"/>
    <mergeCell ref="D34:H34"/>
    <mergeCell ref="M23:Q23"/>
    <mergeCell ref="M34:Q3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42"/>
  <sheetViews>
    <sheetView showGridLines="0" tabSelected="1" zoomScale="101" zoomScaleNormal="100" workbookViewId="0">
      <selection activeCell="D41" sqref="D41"/>
    </sheetView>
  </sheetViews>
  <sheetFormatPr baseColWidth="10" defaultRowHeight="14.75" x14ac:dyDescent="0.75"/>
  <cols>
    <col min="2" max="2" width="37.1328125" bestFit="1" customWidth="1"/>
    <col min="3" max="3" width="10" bestFit="1" customWidth="1"/>
    <col min="4" max="8" width="6.7265625" style="1" customWidth="1"/>
    <col min="11" max="11" width="37.7265625" bestFit="1" customWidth="1"/>
    <col min="12" max="12" width="10" bestFit="1" customWidth="1"/>
    <col min="13" max="17" width="6.7265625" customWidth="1"/>
    <col min="20" max="20" width="37.7265625" bestFit="1" customWidth="1"/>
    <col min="21" max="21" width="10" bestFit="1" customWidth="1"/>
    <col min="22" max="26" width="6.7265625" customWidth="1"/>
  </cols>
  <sheetData>
    <row r="3" spans="2:26" x14ac:dyDescent="0.75">
      <c r="D3" s="40" t="s">
        <v>23</v>
      </c>
      <c r="E3" s="40"/>
      <c r="F3" s="40"/>
      <c r="G3" s="40"/>
      <c r="H3" s="40"/>
    </row>
    <row r="4" spans="2:26" ht="29.5" x14ac:dyDescent="0.75">
      <c r="C4" s="5" t="s">
        <v>3</v>
      </c>
      <c r="D4" s="38">
        <v>1</v>
      </c>
      <c r="E4" s="38">
        <v>2</v>
      </c>
      <c r="F4" s="38">
        <v>3</v>
      </c>
      <c r="G4" s="38">
        <v>4</v>
      </c>
      <c r="H4" s="38">
        <v>5</v>
      </c>
      <c r="I4" s="2" t="s">
        <v>17</v>
      </c>
    </row>
    <row r="5" spans="2:26" x14ac:dyDescent="0.75">
      <c r="B5" s="6" t="s">
        <v>16</v>
      </c>
      <c r="C5" s="6"/>
      <c r="D5" s="38">
        <v>5</v>
      </c>
      <c r="E5" s="38">
        <v>5</v>
      </c>
      <c r="F5" s="38">
        <v>8</v>
      </c>
      <c r="G5" s="38">
        <v>10</v>
      </c>
      <c r="H5" s="38">
        <v>15</v>
      </c>
      <c r="I5">
        <f>SUM(D5:H5)</f>
        <v>43</v>
      </c>
    </row>
    <row r="6" spans="2:26" x14ac:dyDescent="0.75">
      <c r="B6" s="6" t="s">
        <v>1</v>
      </c>
      <c r="C6" s="6">
        <v>20</v>
      </c>
      <c r="D6" s="21">
        <f>C6+D7-D5</f>
        <v>25</v>
      </c>
      <c r="E6" s="21">
        <f t="shared" ref="E6:H6" si="0">D6+E7-E5</f>
        <v>30</v>
      </c>
      <c r="F6" s="21">
        <f t="shared" si="0"/>
        <v>32</v>
      </c>
      <c r="G6" s="21">
        <f t="shared" si="0"/>
        <v>32</v>
      </c>
      <c r="H6" s="21">
        <f t="shared" si="0"/>
        <v>27</v>
      </c>
    </row>
    <row r="7" spans="2:26" x14ac:dyDescent="0.75">
      <c r="B7" s="6" t="s">
        <v>7</v>
      </c>
      <c r="C7" s="6"/>
      <c r="D7" s="38">
        <v>10</v>
      </c>
      <c r="E7" s="38">
        <v>10</v>
      </c>
      <c r="F7" s="38">
        <v>10</v>
      </c>
      <c r="G7" s="38">
        <v>10</v>
      </c>
      <c r="H7" s="38">
        <v>10</v>
      </c>
      <c r="I7">
        <f t="shared" ref="I7" si="1">SUM(D7:H7)</f>
        <v>50</v>
      </c>
    </row>
    <row r="9" spans="2:26" x14ac:dyDescent="0.75">
      <c r="D9" s="40" t="s">
        <v>23</v>
      </c>
      <c r="E9" s="40"/>
      <c r="F9" s="40"/>
      <c r="G9" s="40"/>
      <c r="H9" s="40"/>
      <c r="M9" s="40" t="s">
        <v>23</v>
      </c>
      <c r="N9" s="40"/>
      <c r="O9" s="40"/>
      <c r="P9" s="40"/>
      <c r="Q9" s="40"/>
      <c r="V9" s="40" t="s">
        <v>23</v>
      </c>
      <c r="W9" s="40"/>
      <c r="X9" s="40"/>
      <c r="Y9" s="40"/>
      <c r="Z9" s="40"/>
    </row>
    <row r="10" spans="2:26" ht="29.5" x14ac:dyDescent="0.75">
      <c r="C10" s="5" t="s">
        <v>3</v>
      </c>
      <c r="D10" s="38">
        <v>1</v>
      </c>
      <c r="E10" s="38">
        <v>2</v>
      </c>
      <c r="F10" s="38">
        <v>3</v>
      </c>
      <c r="G10" s="38">
        <v>4</v>
      </c>
      <c r="H10" s="38">
        <v>5</v>
      </c>
      <c r="L10" s="5" t="s">
        <v>3</v>
      </c>
      <c r="M10" s="38">
        <v>2</v>
      </c>
      <c r="N10" s="38">
        <v>3</v>
      </c>
      <c r="O10" s="38">
        <v>4</v>
      </c>
      <c r="P10" s="38">
        <v>5</v>
      </c>
      <c r="Q10" s="38">
        <v>6</v>
      </c>
      <c r="U10" s="5" t="s">
        <v>3</v>
      </c>
      <c r="V10" s="38">
        <v>2</v>
      </c>
      <c r="W10" s="38">
        <v>3</v>
      </c>
      <c r="X10" s="38">
        <v>4</v>
      </c>
      <c r="Y10" s="38">
        <v>5</v>
      </c>
      <c r="Z10" s="38">
        <v>6</v>
      </c>
    </row>
    <row r="11" spans="2:26" x14ac:dyDescent="0.75">
      <c r="B11" s="6" t="s">
        <v>21</v>
      </c>
      <c r="C11" s="6"/>
      <c r="D11" s="38">
        <v>5</v>
      </c>
      <c r="E11" s="38">
        <v>5</v>
      </c>
      <c r="F11" s="38">
        <v>8</v>
      </c>
      <c r="G11" s="38">
        <v>10</v>
      </c>
      <c r="H11" s="38">
        <v>15</v>
      </c>
      <c r="K11" s="6" t="s">
        <v>21</v>
      </c>
      <c r="L11" s="6"/>
      <c r="M11" s="9">
        <v>20</v>
      </c>
      <c r="N11" s="9">
        <v>20</v>
      </c>
      <c r="O11" s="9">
        <v>20</v>
      </c>
      <c r="P11" s="9">
        <v>15</v>
      </c>
      <c r="Q11" s="9">
        <v>20</v>
      </c>
      <c r="T11" s="6" t="s">
        <v>21</v>
      </c>
      <c r="U11" s="6"/>
      <c r="V11" s="38">
        <v>20</v>
      </c>
      <c r="W11" s="38">
        <v>20</v>
      </c>
      <c r="X11" s="9">
        <v>20</v>
      </c>
      <c r="Y11" s="9">
        <v>15</v>
      </c>
      <c r="Z11" s="9">
        <v>20</v>
      </c>
    </row>
    <row r="12" spans="2:26" x14ac:dyDescent="0.75">
      <c r="B12" s="6" t="s">
        <v>22</v>
      </c>
      <c r="C12" s="6">
        <v>20</v>
      </c>
      <c r="D12" s="22"/>
      <c r="E12" s="22"/>
      <c r="F12" s="22"/>
      <c r="G12" s="22"/>
      <c r="H12" s="22"/>
      <c r="K12" s="6" t="s">
        <v>22</v>
      </c>
      <c r="L12" s="8">
        <v>10</v>
      </c>
      <c r="M12" s="24">
        <f>L12+M13-M11</f>
        <v>-10</v>
      </c>
      <c r="N12" s="24">
        <f>M12+N13-N11</f>
        <v>0</v>
      </c>
      <c r="O12" s="24">
        <f t="shared" ref="O12:Q12" si="2">N12+O13-O11</f>
        <v>-20</v>
      </c>
      <c r="P12" s="24">
        <f t="shared" si="2"/>
        <v>-35</v>
      </c>
      <c r="Q12" s="24">
        <f t="shared" si="2"/>
        <v>-55</v>
      </c>
      <c r="T12" s="6" t="s">
        <v>22</v>
      </c>
      <c r="U12" s="8">
        <v>10</v>
      </c>
      <c r="V12" s="24">
        <f>U12+V13-V11</f>
        <v>-10</v>
      </c>
      <c r="W12" s="24">
        <f t="shared" ref="W12:Z12" si="3">V12+W13-W11</f>
        <v>-30</v>
      </c>
      <c r="X12" s="24">
        <f t="shared" si="3"/>
        <v>-50</v>
      </c>
      <c r="Y12" s="24">
        <f t="shared" si="3"/>
        <v>-65</v>
      </c>
      <c r="Z12" s="24">
        <f t="shared" si="3"/>
        <v>-85</v>
      </c>
    </row>
    <row r="13" spans="2:26" x14ac:dyDescent="0.75">
      <c r="B13" s="6" t="s">
        <v>20</v>
      </c>
      <c r="C13" s="6"/>
      <c r="D13" s="23"/>
      <c r="E13" s="23"/>
      <c r="F13" s="22"/>
      <c r="G13" s="23"/>
      <c r="H13" s="23"/>
      <c r="K13" s="6" t="s">
        <v>20</v>
      </c>
      <c r="L13" s="6"/>
      <c r="M13" s="38"/>
      <c r="N13" s="38">
        <v>30</v>
      </c>
      <c r="O13" s="38"/>
      <c r="P13" s="38"/>
      <c r="Q13" s="38"/>
      <c r="T13" s="6" t="s">
        <v>20</v>
      </c>
      <c r="U13" s="6"/>
      <c r="V13" s="22"/>
      <c r="W13" s="22"/>
      <c r="X13" s="22"/>
      <c r="Y13" s="22"/>
      <c r="Z13" s="22"/>
    </row>
    <row r="14" spans="2:26" x14ac:dyDescent="0.75">
      <c r="B14" s="42" t="s">
        <v>25</v>
      </c>
      <c r="K14" s="42" t="s">
        <v>25</v>
      </c>
      <c r="M14" s="1"/>
      <c r="N14" s="1"/>
      <c r="O14" s="1"/>
      <c r="P14" s="1"/>
      <c r="Q14" s="1"/>
      <c r="T14" s="42" t="s">
        <v>25</v>
      </c>
      <c r="V14" s="1"/>
      <c r="W14" s="1"/>
      <c r="X14" s="1"/>
      <c r="Y14" s="1"/>
      <c r="Z14" s="1"/>
    </row>
    <row r="15" spans="2:26" x14ac:dyDescent="0.75">
      <c r="B15" s="42" t="s">
        <v>26</v>
      </c>
      <c r="K15" s="42" t="s">
        <v>26</v>
      </c>
      <c r="M15" s="1"/>
      <c r="N15" s="1"/>
      <c r="O15" s="1"/>
      <c r="P15" s="1"/>
      <c r="Q15" s="1"/>
      <c r="T15" s="42" t="s">
        <v>26</v>
      </c>
      <c r="V15" s="1"/>
      <c r="W15" s="1"/>
      <c r="X15" s="1"/>
      <c r="Y15" s="1"/>
      <c r="Z15" s="1"/>
    </row>
    <row r="16" spans="2:26" x14ac:dyDescent="0.75">
      <c r="T16" s="3"/>
      <c r="U16" s="3"/>
      <c r="V16" s="3"/>
      <c r="W16" s="3"/>
      <c r="X16" s="3"/>
      <c r="Y16" s="3"/>
      <c r="Z16" s="3"/>
    </row>
    <row r="17" spans="2:26" s="35" customFormat="1" ht="15.5" thickBot="1" x14ac:dyDescent="0.9">
      <c r="D17" s="36"/>
      <c r="E17" s="36"/>
      <c r="F17" s="36"/>
      <c r="G17" s="36"/>
      <c r="H17" s="36"/>
      <c r="U17" s="37"/>
      <c r="V17" s="36"/>
      <c r="W17" s="36"/>
      <c r="X17" s="36"/>
      <c r="Y17" s="36"/>
      <c r="Z17" s="36"/>
    </row>
    <row r="18" spans="2:26" ht="15.5" thickTop="1" x14ac:dyDescent="0.75">
      <c r="T18" s="3"/>
      <c r="U18" s="3"/>
      <c r="V18" s="20"/>
      <c r="W18" s="20"/>
      <c r="X18" s="20"/>
      <c r="Y18" s="20"/>
      <c r="Z18" s="20"/>
    </row>
    <row r="19" spans="2:26" x14ac:dyDescent="0.75">
      <c r="T19" s="4"/>
      <c r="U19" s="3"/>
      <c r="V19" s="20"/>
      <c r="W19" s="20"/>
      <c r="X19" s="20"/>
      <c r="Y19" s="20"/>
      <c r="Z19" s="20"/>
    </row>
    <row r="20" spans="2:26" x14ac:dyDescent="0.75">
      <c r="T20" s="4"/>
      <c r="U20" s="3"/>
      <c r="V20" s="20"/>
      <c r="W20" s="20"/>
      <c r="X20" s="20"/>
      <c r="Y20" s="20"/>
      <c r="Z20" s="20"/>
    </row>
    <row r="21" spans="2:26" x14ac:dyDescent="0.75">
      <c r="T21" s="3"/>
      <c r="U21" s="3"/>
      <c r="V21" s="3"/>
      <c r="W21" s="3"/>
      <c r="X21" s="3"/>
      <c r="Y21" s="3"/>
      <c r="Z21" s="3"/>
    </row>
    <row r="22" spans="2:26" x14ac:dyDescent="0.75">
      <c r="D22" s="10" t="s">
        <v>9</v>
      </c>
      <c r="M22" s="10" t="s">
        <v>9</v>
      </c>
      <c r="N22" s="1"/>
      <c r="O22" s="1"/>
      <c r="P22" s="1"/>
      <c r="Q22" s="1"/>
      <c r="V22" s="10" t="s">
        <v>13</v>
      </c>
      <c r="W22" s="1"/>
      <c r="X22" s="1"/>
      <c r="Y22" s="1"/>
      <c r="Z22" s="1"/>
    </row>
    <row r="23" spans="2:26" x14ac:dyDescent="0.75">
      <c r="D23" s="40" t="s">
        <v>23</v>
      </c>
      <c r="E23" s="40"/>
      <c r="F23" s="40"/>
      <c r="G23" s="40"/>
      <c r="H23" s="40"/>
      <c r="M23" s="40" t="s">
        <v>23</v>
      </c>
      <c r="N23" s="40"/>
      <c r="O23" s="40"/>
      <c r="P23" s="40"/>
      <c r="Q23" s="40"/>
      <c r="V23" s="40" t="s">
        <v>23</v>
      </c>
      <c r="W23" s="40"/>
      <c r="X23" s="40"/>
      <c r="Y23" s="40"/>
      <c r="Z23" s="40"/>
    </row>
    <row r="24" spans="2:26" ht="29.5" x14ac:dyDescent="0.75">
      <c r="C24" s="5" t="s">
        <v>3</v>
      </c>
      <c r="D24" s="38">
        <v>1</v>
      </c>
      <c r="E24" s="38">
        <v>2</v>
      </c>
      <c r="F24" s="38">
        <v>3</v>
      </c>
      <c r="G24" s="38">
        <v>4</v>
      </c>
      <c r="H24" s="38">
        <v>5</v>
      </c>
      <c r="L24" s="5" t="s">
        <v>3</v>
      </c>
      <c r="M24" s="38">
        <v>2</v>
      </c>
      <c r="N24" s="38">
        <v>3</v>
      </c>
      <c r="O24" s="38">
        <v>4</v>
      </c>
      <c r="P24" s="38">
        <v>5</v>
      </c>
      <c r="Q24" s="38">
        <v>6</v>
      </c>
      <c r="T24" s="15"/>
      <c r="U24" s="17" t="s">
        <v>3</v>
      </c>
      <c r="V24" s="39">
        <v>2</v>
      </c>
      <c r="W24" s="39">
        <v>3</v>
      </c>
      <c r="X24" s="39">
        <v>4</v>
      </c>
      <c r="Y24" s="39">
        <v>5</v>
      </c>
      <c r="Z24" s="39">
        <v>6</v>
      </c>
    </row>
    <row r="25" spans="2:26" x14ac:dyDescent="0.75">
      <c r="B25" s="6" t="s">
        <v>21</v>
      </c>
      <c r="C25" s="6"/>
      <c r="D25" s="38">
        <v>5</v>
      </c>
      <c r="E25" s="38">
        <v>5</v>
      </c>
      <c r="F25" s="38">
        <v>8</v>
      </c>
      <c r="G25" s="38">
        <v>10</v>
      </c>
      <c r="H25" s="38">
        <v>15</v>
      </c>
      <c r="K25" s="12" t="s">
        <v>21</v>
      </c>
      <c r="L25" s="12"/>
      <c r="M25" s="39">
        <v>5</v>
      </c>
      <c r="N25" s="39">
        <v>8</v>
      </c>
      <c r="O25" s="39">
        <v>10</v>
      </c>
      <c r="P25" s="39">
        <v>15</v>
      </c>
      <c r="Q25" s="9">
        <v>20</v>
      </c>
      <c r="T25" s="12" t="s">
        <v>21</v>
      </c>
      <c r="U25" s="12"/>
      <c r="V25" s="39">
        <v>5</v>
      </c>
      <c r="W25" s="39">
        <v>8</v>
      </c>
      <c r="X25" s="39">
        <v>10</v>
      </c>
      <c r="Y25" s="39">
        <v>15</v>
      </c>
      <c r="Z25" s="39">
        <v>20</v>
      </c>
    </row>
    <row r="26" spans="2:26" x14ac:dyDescent="0.75">
      <c r="B26" s="8" t="s">
        <v>24</v>
      </c>
      <c r="C26" s="6"/>
      <c r="D26" s="9">
        <v>5</v>
      </c>
      <c r="E26" s="9">
        <v>3</v>
      </c>
      <c r="F26" s="9">
        <v>2</v>
      </c>
      <c r="G26" s="9">
        <v>0</v>
      </c>
      <c r="H26" s="9">
        <v>0</v>
      </c>
      <c r="K26" s="12" t="s">
        <v>24</v>
      </c>
      <c r="L26" s="12"/>
      <c r="M26" s="19" t="s">
        <v>11</v>
      </c>
      <c r="N26" s="19" t="s">
        <v>12</v>
      </c>
      <c r="O26" s="9">
        <v>0</v>
      </c>
      <c r="P26" s="9">
        <v>10</v>
      </c>
      <c r="Q26" s="9">
        <v>35</v>
      </c>
      <c r="T26" s="12" t="s">
        <v>24</v>
      </c>
      <c r="U26" s="12"/>
      <c r="V26" s="18" t="s">
        <v>11</v>
      </c>
      <c r="W26" s="18" t="s">
        <v>12</v>
      </c>
      <c r="X26" s="39">
        <v>0</v>
      </c>
      <c r="Y26" s="39">
        <v>10</v>
      </c>
      <c r="Z26" s="39">
        <v>35</v>
      </c>
    </row>
    <row r="27" spans="2:26" x14ac:dyDescent="0.75">
      <c r="B27" s="6" t="s">
        <v>22</v>
      </c>
      <c r="C27" s="6">
        <v>20</v>
      </c>
      <c r="D27" s="22"/>
      <c r="E27" s="22"/>
      <c r="F27" s="22"/>
      <c r="G27" s="22"/>
      <c r="H27" s="22"/>
      <c r="K27" s="12" t="s">
        <v>22</v>
      </c>
      <c r="L27" s="8">
        <v>15</v>
      </c>
      <c r="M27" s="22"/>
      <c r="N27" s="22"/>
      <c r="O27" s="22"/>
      <c r="P27" s="22"/>
      <c r="Q27" s="22"/>
      <c r="T27" s="12" t="s">
        <v>22</v>
      </c>
      <c r="U27" s="8">
        <v>15</v>
      </c>
      <c r="V27" s="39">
        <v>7</v>
      </c>
      <c r="W27" s="39">
        <v>20</v>
      </c>
      <c r="X27" s="39">
        <v>10</v>
      </c>
      <c r="Y27" s="9">
        <v>25</v>
      </c>
      <c r="Z27" s="9">
        <v>20</v>
      </c>
    </row>
    <row r="28" spans="2:26" x14ac:dyDescent="0.75">
      <c r="B28" s="8" t="s">
        <v>8</v>
      </c>
      <c r="C28" s="6"/>
      <c r="D28" s="22"/>
      <c r="E28" s="22"/>
      <c r="F28" s="22"/>
      <c r="G28" s="23"/>
      <c r="H28" s="23"/>
      <c r="K28" s="12" t="s">
        <v>8</v>
      </c>
      <c r="L28" s="12"/>
      <c r="M28" s="21"/>
      <c r="N28" s="21"/>
      <c r="O28" s="21"/>
      <c r="P28" s="21"/>
      <c r="Q28" s="21"/>
      <c r="T28" s="12" t="s">
        <v>8</v>
      </c>
      <c r="U28" s="12"/>
      <c r="V28" s="21"/>
      <c r="W28" s="22"/>
      <c r="X28" s="22"/>
      <c r="Y28" s="22"/>
      <c r="Z28" s="22"/>
    </row>
    <row r="29" spans="2:26" x14ac:dyDescent="0.75">
      <c r="B29" s="6" t="s">
        <v>20</v>
      </c>
      <c r="C29" s="6"/>
      <c r="D29" s="38"/>
      <c r="E29" s="38"/>
      <c r="F29" s="38">
        <v>30</v>
      </c>
      <c r="G29" s="38"/>
      <c r="H29" s="38"/>
      <c r="K29" s="12" t="s">
        <v>20</v>
      </c>
      <c r="L29" s="12"/>
      <c r="M29" s="39"/>
      <c r="N29" s="39">
        <v>30</v>
      </c>
      <c r="O29" s="39"/>
      <c r="P29" s="39"/>
      <c r="Q29" s="39"/>
      <c r="T29" s="12" t="s">
        <v>20</v>
      </c>
      <c r="U29" s="12"/>
      <c r="V29" s="39"/>
      <c r="W29" s="9">
        <v>30</v>
      </c>
      <c r="X29" s="9"/>
      <c r="Y29" s="9">
        <v>30</v>
      </c>
      <c r="Z29" s="9">
        <v>30</v>
      </c>
    </row>
    <row r="30" spans="2:26" x14ac:dyDescent="0.75">
      <c r="B30" s="4" t="s">
        <v>5</v>
      </c>
      <c r="K30" s="42" t="s">
        <v>25</v>
      </c>
      <c r="L30" s="15"/>
      <c r="M30" s="16"/>
      <c r="N30" s="16"/>
      <c r="O30" s="16"/>
      <c r="P30" s="16"/>
      <c r="Q30" s="16"/>
      <c r="T30" s="42" t="s">
        <v>25</v>
      </c>
      <c r="U30" s="15"/>
      <c r="V30" s="16"/>
      <c r="W30" s="16"/>
      <c r="X30" s="16"/>
      <c r="Y30" s="16"/>
      <c r="Z30" s="16"/>
    </row>
    <row r="31" spans="2:26" x14ac:dyDescent="0.75">
      <c r="B31" s="4" t="s">
        <v>6</v>
      </c>
      <c r="K31" s="42" t="s">
        <v>26</v>
      </c>
      <c r="M31" s="1"/>
      <c r="N31" s="1"/>
      <c r="O31" s="1"/>
      <c r="P31" s="1"/>
      <c r="Q31" s="1"/>
      <c r="T31" s="42" t="s">
        <v>26</v>
      </c>
      <c r="V31" s="1"/>
      <c r="W31" s="1"/>
      <c r="X31" s="1"/>
      <c r="Y31" s="1"/>
      <c r="Z31" s="1"/>
    </row>
    <row r="32" spans="2:26" x14ac:dyDescent="0.75">
      <c r="M32" s="1"/>
      <c r="N32" s="1"/>
      <c r="O32" s="1"/>
      <c r="P32" s="1"/>
      <c r="Q32" s="1"/>
      <c r="V32" s="1"/>
      <c r="W32" s="1"/>
      <c r="X32" s="1"/>
      <c r="Y32" s="1"/>
      <c r="Z32" s="1"/>
    </row>
    <row r="33" spans="2:26" x14ac:dyDescent="0.75">
      <c r="D33" s="10" t="s">
        <v>10</v>
      </c>
      <c r="M33" s="10" t="s">
        <v>10</v>
      </c>
      <c r="N33" s="1"/>
      <c r="O33" s="1"/>
      <c r="P33" s="1"/>
      <c r="Q33" s="1"/>
      <c r="V33" s="10" t="s">
        <v>14</v>
      </c>
      <c r="W33" s="1"/>
      <c r="X33" s="1"/>
      <c r="Y33" s="1"/>
      <c r="Z33" s="1"/>
    </row>
    <row r="34" spans="2:26" x14ac:dyDescent="0.75">
      <c r="D34" s="40" t="s">
        <v>23</v>
      </c>
      <c r="E34" s="40"/>
      <c r="F34" s="40"/>
      <c r="G34" s="40"/>
      <c r="H34" s="40"/>
      <c r="K34" s="15"/>
      <c r="L34" s="15"/>
      <c r="M34" s="40" t="s">
        <v>23</v>
      </c>
      <c r="N34" s="40"/>
      <c r="O34" s="40"/>
      <c r="P34" s="40"/>
      <c r="Q34" s="40"/>
      <c r="T34" s="15"/>
      <c r="U34" s="15"/>
      <c r="V34" s="40" t="s">
        <v>23</v>
      </c>
      <c r="W34" s="40"/>
      <c r="X34" s="40"/>
      <c r="Y34" s="40"/>
      <c r="Z34" s="40"/>
    </row>
    <row r="35" spans="2:26" ht="29.5" x14ac:dyDescent="0.75">
      <c r="C35" s="5" t="s">
        <v>3</v>
      </c>
      <c r="D35" s="38">
        <v>1</v>
      </c>
      <c r="E35" s="38">
        <v>2</v>
      </c>
      <c r="F35" s="38">
        <v>3</v>
      </c>
      <c r="G35" s="38">
        <v>4</v>
      </c>
      <c r="H35" s="38">
        <v>5</v>
      </c>
      <c r="K35" s="15"/>
      <c r="L35" s="17" t="s">
        <v>3</v>
      </c>
      <c r="M35" s="39">
        <v>2</v>
      </c>
      <c r="N35" s="39">
        <v>3</v>
      </c>
      <c r="O35" s="39">
        <v>4</v>
      </c>
      <c r="P35" s="39">
        <v>5</v>
      </c>
      <c r="Q35" s="39">
        <v>6</v>
      </c>
      <c r="T35" s="15"/>
      <c r="U35" s="17" t="s">
        <v>3</v>
      </c>
      <c r="V35" s="39">
        <v>2</v>
      </c>
      <c r="W35" s="39">
        <v>3</v>
      </c>
      <c r="X35" s="39">
        <v>4</v>
      </c>
      <c r="Y35" s="39">
        <v>5</v>
      </c>
      <c r="Z35" s="39">
        <v>6</v>
      </c>
    </row>
    <row r="36" spans="2:26" x14ac:dyDescent="0.75">
      <c r="B36" s="6" t="s">
        <v>21</v>
      </c>
      <c r="C36" s="6"/>
      <c r="D36" s="38">
        <v>5</v>
      </c>
      <c r="E36" s="38">
        <v>5</v>
      </c>
      <c r="F36" s="38">
        <v>8</v>
      </c>
      <c r="G36" s="38">
        <v>10</v>
      </c>
      <c r="H36" s="38">
        <v>15</v>
      </c>
      <c r="K36" s="12" t="s">
        <v>21</v>
      </c>
      <c r="L36" s="12"/>
      <c r="M36" s="39">
        <v>5</v>
      </c>
      <c r="N36" s="39">
        <v>8</v>
      </c>
      <c r="O36" s="39">
        <v>10</v>
      </c>
      <c r="P36" s="39">
        <v>15</v>
      </c>
      <c r="Q36" s="9">
        <v>20</v>
      </c>
      <c r="T36" s="12" t="s">
        <v>21</v>
      </c>
      <c r="U36" s="12"/>
      <c r="V36" s="39">
        <v>5</v>
      </c>
      <c r="W36" s="39">
        <v>8</v>
      </c>
      <c r="X36" s="39">
        <v>10</v>
      </c>
      <c r="Y36" s="39">
        <v>15</v>
      </c>
      <c r="Z36" s="39">
        <v>20</v>
      </c>
    </row>
    <row r="37" spans="2:26" x14ac:dyDescent="0.75">
      <c r="B37" s="8" t="s">
        <v>24</v>
      </c>
      <c r="C37" s="6"/>
      <c r="D37" s="9">
        <v>5</v>
      </c>
      <c r="E37" s="9">
        <v>3</v>
      </c>
      <c r="F37" s="9">
        <v>2</v>
      </c>
      <c r="G37" s="9">
        <v>0</v>
      </c>
      <c r="H37" s="9">
        <v>0</v>
      </c>
      <c r="K37" s="12" t="s">
        <v>24</v>
      </c>
      <c r="L37" s="12"/>
      <c r="M37" s="19" t="s">
        <v>11</v>
      </c>
      <c r="N37" s="19" t="s">
        <v>12</v>
      </c>
      <c r="O37" s="9">
        <v>0</v>
      </c>
      <c r="P37" s="9">
        <v>10</v>
      </c>
      <c r="Q37" s="9">
        <v>35</v>
      </c>
      <c r="T37" s="12" t="s">
        <v>24</v>
      </c>
      <c r="U37" s="12"/>
      <c r="V37" s="18" t="s">
        <v>11</v>
      </c>
      <c r="W37" s="18" t="s">
        <v>12</v>
      </c>
      <c r="X37" s="39">
        <v>0</v>
      </c>
      <c r="Y37" s="39">
        <v>10</v>
      </c>
      <c r="Z37" s="39">
        <v>35</v>
      </c>
    </row>
    <row r="38" spans="2:26" x14ac:dyDescent="0.75">
      <c r="B38" s="6" t="s">
        <v>22</v>
      </c>
      <c r="C38" s="6">
        <v>20</v>
      </c>
      <c r="D38" s="22"/>
      <c r="E38" s="22"/>
      <c r="F38" s="22"/>
      <c r="G38" s="22"/>
      <c r="H38" s="22"/>
      <c r="K38" s="12" t="s">
        <v>22</v>
      </c>
      <c r="L38" s="8">
        <v>15</v>
      </c>
      <c r="M38" s="21"/>
      <c r="N38" s="21"/>
      <c r="O38" s="21"/>
      <c r="P38" s="21"/>
      <c r="Q38" s="21"/>
      <c r="T38" s="12" t="s">
        <v>22</v>
      </c>
      <c r="U38" s="8">
        <v>15</v>
      </c>
      <c r="V38" s="21"/>
      <c r="W38" s="22"/>
      <c r="X38" s="22"/>
      <c r="Y38" s="22"/>
      <c r="Z38" s="22"/>
    </row>
    <row r="39" spans="2:26" x14ac:dyDescent="0.75">
      <c r="B39" s="8" t="s">
        <v>8</v>
      </c>
      <c r="C39" s="6"/>
      <c r="D39" s="22"/>
      <c r="E39" s="23"/>
      <c r="F39" s="22"/>
      <c r="G39" s="23"/>
      <c r="H39" s="23"/>
      <c r="K39" s="12" t="s">
        <v>8</v>
      </c>
      <c r="L39" s="12"/>
      <c r="M39" s="21"/>
      <c r="N39" s="21"/>
      <c r="O39" s="21"/>
      <c r="P39" s="21"/>
      <c r="Q39" s="21"/>
      <c r="T39" s="12" t="s">
        <v>8</v>
      </c>
      <c r="U39" s="12"/>
      <c r="V39" s="21"/>
      <c r="W39" s="22"/>
      <c r="X39" s="22"/>
      <c r="Y39" s="22"/>
      <c r="Z39" s="22"/>
    </row>
    <row r="40" spans="2:26" x14ac:dyDescent="0.75">
      <c r="B40" s="6" t="s">
        <v>20</v>
      </c>
      <c r="C40" s="6"/>
      <c r="D40" s="38"/>
      <c r="E40" s="38"/>
      <c r="F40" s="38">
        <v>30</v>
      </c>
      <c r="G40" s="38"/>
      <c r="H40" s="38"/>
      <c r="K40" s="12" t="s">
        <v>20</v>
      </c>
      <c r="L40" s="12"/>
      <c r="M40" s="39"/>
      <c r="N40" s="39">
        <v>30</v>
      </c>
      <c r="O40" s="39"/>
      <c r="P40" s="39"/>
      <c r="Q40" s="39"/>
      <c r="T40" s="12" t="s">
        <v>20</v>
      </c>
      <c r="U40" s="12"/>
      <c r="V40" s="21"/>
      <c r="W40" s="22"/>
      <c r="X40" s="22"/>
      <c r="Y40" s="22"/>
      <c r="Z40" s="22"/>
    </row>
    <row r="41" spans="2:26" x14ac:dyDescent="0.75">
      <c r="B41" s="42" t="s">
        <v>25</v>
      </c>
      <c r="K41" s="42" t="s">
        <v>25</v>
      </c>
      <c r="L41" s="15"/>
      <c r="M41" s="16"/>
      <c r="N41" s="16"/>
      <c r="O41" s="16"/>
      <c r="P41" s="16"/>
      <c r="Q41" s="16"/>
      <c r="T41" s="42" t="s">
        <v>25</v>
      </c>
      <c r="U41" s="15"/>
      <c r="V41" s="16"/>
      <c r="W41" s="16"/>
      <c r="X41" s="16"/>
      <c r="Y41" s="16"/>
      <c r="Z41" s="16"/>
    </row>
    <row r="42" spans="2:26" x14ac:dyDescent="0.75">
      <c r="B42" s="42" t="s">
        <v>26</v>
      </c>
      <c r="K42" s="42" t="s">
        <v>26</v>
      </c>
      <c r="L42" s="15"/>
      <c r="M42" s="16"/>
      <c r="N42" s="16"/>
      <c r="O42" s="16"/>
      <c r="P42" s="16"/>
      <c r="Q42" s="16"/>
      <c r="T42" s="42" t="s">
        <v>26</v>
      </c>
      <c r="U42" s="15"/>
      <c r="V42" s="16"/>
      <c r="W42" s="16"/>
      <c r="X42" s="16"/>
      <c r="Y42" s="16"/>
      <c r="Z42" s="16"/>
    </row>
  </sheetData>
  <mergeCells count="10">
    <mergeCell ref="D34:H34"/>
    <mergeCell ref="M34:Q34"/>
    <mergeCell ref="V34:Z34"/>
    <mergeCell ref="D3:H3"/>
    <mergeCell ref="D9:H9"/>
    <mergeCell ref="M9:Q9"/>
    <mergeCell ref="V9:Z9"/>
    <mergeCell ref="D23:H23"/>
    <mergeCell ref="M23:Q23"/>
    <mergeCell ref="V23:Z23"/>
  </mergeCells>
  <pageMargins left="0.7" right="0.7" top="0.75" bottom="0.75" header="0.3" footer="0.3"/>
  <pageSetup paperSize="9" scale="76" orientation="portrait" r:id="rId1"/>
  <colBreaks count="2" manualBreakCount="2">
    <brk id="10" max="1048575" man="1"/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MPS</vt:lpstr>
      <vt:lpstr>MPS ve</vt:lpstr>
      <vt:lpstr>'MPS ve'!Zone_d_impression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 Frédéric</dc:creator>
  <cp:lastModifiedBy>ROSIN Frédéric</cp:lastModifiedBy>
  <cp:lastPrinted>2016-11-08T18:32:43Z</cp:lastPrinted>
  <dcterms:created xsi:type="dcterms:W3CDTF">2015-07-24T13:47:05Z</dcterms:created>
  <dcterms:modified xsi:type="dcterms:W3CDTF">2025-12-11T08:59:28Z</dcterms:modified>
</cp:coreProperties>
</file>